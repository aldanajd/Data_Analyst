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ldan\Desktop\Data Analysis and Science\Data Analysis\Data Analysis Projects\Excel Projects\Trading Log - Creating with Excel\"/>
    </mc:Choice>
  </mc:AlternateContent>
  <xr:revisionPtr revIDLastSave="0" documentId="13_ncr:1_{18E056D0-0281-4CFA-9FFA-88261420AB97}" xr6:coauthVersionLast="47" xr6:coauthVersionMax="47" xr10:uidLastSave="{00000000-0000-0000-0000-000000000000}"/>
  <bookViews>
    <workbookView xWindow="-120" yWindow="-120" windowWidth="20640" windowHeight="11160" activeTab="2" xr2:uid="{00000000-000D-0000-FFFF-FFFF00000000}"/>
  </bookViews>
  <sheets>
    <sheet name="Operativa" sheetId="11" r:id="rId1"/>
    <sheet name="Datos Generales" sheetId="1" r:id="rId2"/>
    <sheet name="Febrero-20" sheetId="2" r:id="rId3"/>
    <sheet name="Marzo-20" sheetId="4" r:id="rId4"/>
    <sheet name="Abril-20" sheetId="5" r:id="rId5"/>
    <sheet name="Mayo-20" sheetId="6" r:id="rId6"/>
    <sheet name="Junio-20" sheetId="7" r:id="rId7"/>
    <sheet name="Julio-20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1" i="2" l="1"/>
  <c r="R11" i="2"/>
  <c r="Q11" i="2"/>
  <c r="P11" i="2"/>
  <c r="O11" i="2"/>
  <c r="S10" i="2"/>
  <c r="R10" i="2"/>
  <c r="Q10" i="2"/>
  <c r="P10" i="2"/>
  <c r="O10" i="2"/>
  <c r="S9" i="2"/>
  <c r="R9" i="2"/>
  <c r="Q9" i="2"/>
  <c r="P9" i="2"/>
  <c r="O9" i="2"/>
  <c r="S8" i="2"/>
  <c r="R8" i="2"/>
  <c r="Q8" i="2"/>
  <c r="P8" i="2"/>
  <c r="O8" i="2"/>
  <c r="S7" i="2"/>
  <c r="R7" i="2"/>
  <c r="Q7" i="2"/>
  <c r="P7" i="2"/>
  <c r="O7" i="2"/>
  <c r="S6" i="2"/>
  <c r="R6" i="2"/>
  <c r="Q6" i="2"/>
  <c r="P6" i="2"/>
  <c r="O6" i="2"/>
  <c r="S5" i="2"/>
  <c r="R5" i="2"/>
  <c r="Q5" i="2"/>
  <c r="P5" i="2"/>
  <c r="O5" i="2"/>
  <c r="S4" i="2"/>
  <c r="R4" i="2"/>
  <c r="Q4" i="2"/>
  <c r="P4" i="2"/>
  <c r="O4" i="2"/>
  <c r="S3" i="2"/>
  <c r="R3" i="2"/>
  <c r="Q3" i="2"/>
  <c r="P3" i="2"/>
  <c r="O3" i="2"/>
  <c r="S2" i="2"/>
  <c r="R2" i="2"/>
  <c r="Q2" i="2"/>
  <c r="P2" i="2"/>
  <c r="O2" i="2"/>
  <c r="L2" i="11"/>
  <c r="L3" i="11"/>
  <c r="I2" i="2"/>
  <c r="G11" i="11"/>
  <c r="N16" i="2"/>
  <c r="G14" i="11"/>
  <c r="G15" i="11"/>
  <c r="F3" i="11" s="1"/>
  <c r="K11" i="11"/>
  <c r="E11" i="11"/>
  <c r="I11" i="11"/>
  <c r="E14" i="11"/>
  <c r="E13" i="11"/>
  <c r="E12" i="11"/>
  <c r="G13" i="11"/>
  <c r="G12" i="11"/>
  <c r="B7" i="11"/>
  <c r="C7" i="11" s="1"/>
  <c r="B6" i="11"/>
  <c r="C6" i="11" s="1"/>
  <c r="F2" i="11" l="1"/>
  <c r="F4" i="11"/>
  <c r="E15" i="11"/>
  <c r="F6" i="11" s="1"/>
  <c r="AG410" i="9"/>
  <c r="AF410" i="9"/>
  <c r="AA410" i="9"/>
  <c r="Z410" i="9"/>
  <c r="Y410" i="9"/>
  <c r="X410" i="9"/>
  <c r="V410" i="9"/>
  <c r="U410" i="9"/>
  <c r="T410" i="9"/>
  <c r="S410" i="9"/>
  <c r="R410" i="9"/>
  <c r="AB409" i="9"/>
  <c r="AA409" i="9"/>
  <c r="Z409" i="9"/>
  <c r="Y409" i="9"/>
  <c r="X409" i="9"/>
  <c r="V409" i="9"/>
  <c r="U409" i="9"/>
  <c r="T409" i="9"/>
  <c r="S409" i="9"/>
  <c r="R409" i="9"/>
  <c r="AB408" i="9"/>
  <c r="AA408" i="9"/>
  <c r="Z408" i="9"/>
  <c r="Y408" i="9"/>
  <c r="X408" i="9"/>
  <c r="V408" i="9"/>
  <c r="U408" i="9"/>
  <c r="T408" i="9"/>
  <c r="S408" i="9"/>
  <c r="R408" i="9"/>
  <c r="AB407" i="9"/>
  <c r="AA407" i="9"/>
  <c r="Z407" i="9"/>
  <c r="Y407" i="9"/>
  <c r="X407" i="9"/>
  <c r="V407" i="9"/>
  <c r="U407" i="9"/>
  <c r="T407" i="9"/>
  <c r="S407" i="9"/>
  <c r="R407" i="9"/>
  <c r="AB406" i="9"/>
  <c r="AA406" i="9"/>
  <c r="Z406" i="9"/>
  <c r="Y406" i="9"/>
  <c r="X406" i="9"/>
  <c r="V406" i="9"/>
  <c r="U406" i="9"/>
  <c r="T406" i="9"/>
  <c r="S406" i="9"/>
  <c r="R406" i="9"/>
  <c r="AB405" i="9"/>
  <c r="AA405" i="9"/>
  <c r="Z405" i="9"/>
  <c r="Y405" i="9"/>
  <c r="X405" i="9"/>
  <c r="V405" i="9"/>
  <c r="U405" i="9"/>
  <c r="T405" i="9"/>
  <c r="S405" i="9"/>
  <c r="R405" i="9"/>
  <c r="AB404" i="9"/>
  <c r="AA404" i="9"/>
  <c r="Z404" i="9"/>
  <c r="Y404" i="9"/>
  <c r="X404" i="9"/>
  <c r="V404" i="9"/>
  <c r="U404" i="9"/>
  <c r="T404" i="9"/>
  <c r="S404" i="9"/>
  <c r="R404" i="9"/>
  <c r="AB403" i="9"/>
  <c r="AA403" i="9"/>
  <c r="Z403" i="9"/>
  <c r="Y403" i="9"/>
  <c r="X403" i="9"/>
  <c r="V403" i="9"/>
  <c r="U403" i="9"/>
  <c r="T403" i="9"/>
  <c r="S403" i="9"/>
  <c r="R403" i="9"/>
  <c r="AB402" i="9"/>
  <c r="AA402" i="9"/>
  <c r="Z402" i="9"/>
  <c r="Y402" i="9"/>
  <c r="X402" i="9"/>
  <c r="V402" i="9"/>
  <c r="U402" i="9"/>
  <c r="T402" i="9"/>
  <c r="S402" i="9"/>
  <c r="R402" i="9"/>
  <c r="AB401" i="9"/>
  <c r="AA401" i="9"/>
  <c r="Z401" i="9"/>
  <c r="Y401" i="9"/>
  <c r="X401" i="9"/>
  <c r="AH410" i="9" s="1"/>
  <c r="V401" i="9"/>
  <c r="U401" i="9"/>
  <c r="AH401" i="9" s="1"/>
  <c r="T401" i="9"/>
  <c r="S401" i="9"/>
  <c r="R401" i="9"/>
  <c r="AB410" i="9" s="1"/>
  <c r="I301" i="9"/>
  <c r="I300" i="9"/>
  <c r="I299" i="9"/>
  <c r="I298" i="9"/>
  <c r="I297" i="9"/>
  <c r="I296" i="9"/>
  <c r="I295" i="9"/>
  <c r="I294" i="9"/>
  <c r="I293" i="9"/>
  <c r="I292" i="9"/>
  <c r="I291" i="9"/>
  <c r="I290" i="9"/>
  <c r="I289" i="9"/>
  <c r="I288" i="9"/>
  <c r="I287" i="9"/>
  <c r="I286" i="9"/>
  <c r="I285" i="9"/>
  <c r="I284" i="9"/>
  <c r="I283" i="9"/>
  <c r="I282" i="9"/>
  <c r="I281" i="9"/>
  <c r="I280" i="9"/>
  <c r="I279" i="9"/>
  <c r="I278" i="9"/>
  <c r="I277" i="9"/>
  <c r="I276" i="9"/>
  <c r="I275" i="9"/>
  <c r="I274" i="9"/>
  <c r="I273" i="9"/>
  <c r="I272" i="9"/>
  <c r="I271" i="9"/>
  <c r="I270" i="9"/>
  <c r="I269" i="9"/>
  <c r="I268" i="9"/>
  <c r="I267" i="9"/>
  <c r="I266" i="9"/>
  <c r="I265" i="9"/>
  <c r="I264" i="9"/>
  <c r="I263" i="9"/>
  <c r="I262" i="9"/>
  <c r="I261" i="9"/>
  <c r="I260" i="9"/>
  <c r="I259" i="9"/>
  <c r="I258" i="9"/>
  <c r="I257" i="9"/>
  <c r="I256" i="9"/>
  <c r="I255" i="9"/>
  <c r="I254" i="9"/>
  <c r="I253" i="9"/>
  <c r="I252" i="9"/>
  <c r="I251" i="9"/>
  <c r="I250" i="9"/>
  <c r="I249" i="9"/>
  <c r="I248" i="9"/>
  <c r="I247" i="9"/>
  <c r="I246" i="9"/>
  <c r="I245" i="9"/>
  <c r="I244" i="9"/>
  <c r="I243" i="9"/>
  <c r="I242" i="9"/>
  <c r="I241" i="9"/>
  <c r="I240" i="9"/>
  <c r="I239" i="9"/>
  <c r="I238" i="9"/>
  <c r="I237" i="9"/>
  <c r="I236" i="9"/>
  <c r="I235" i="9"/>
  <c r="I234" i="9"/>
  <c r="I233" i="9"/>
  <c r="I232" i="9"/>
  <c r="I231" i="9"/>
  <c r="I230" i="9"/>
  <c r="I229" i="9"/>
  <c r="I228" i="9"/>
  <c r="I227" i="9"/>
  <c r="I226" i="9"/>
  <c r="I225" i="9"/>
  <c r="I224" i="9"/>
  <c r="I223" i="9"/>
  <c r="I222" i="9"/>
  <c r="I221" i="9"/>
  <c r="I220" i="9"/>
  <c r="I219" i="9"/>
  <c r="I218" i="9"/>
  <c r="I217" i="9"/>
  <c r="I216" i="9"/>
  <c r="I215" i="9"/>
  <c r="I214" i="9"/>
  <c r="I213" i="9"/>
  <c r="I212" i="9"/>
  <c r="I211" i="9"/>
  <c r="I210" i="9"/>
  <c r="I209" i="9"/>
  <c r="I208" i="9"/>
  <c r="I207" i="9"/>
  <c r="I206" i="9"/>
  <c r="I205" i="9"/>
  <c r="I204" i="9"/>
  <c r="I203" i="9"/>
  <c r="I202" i="9"/>
  <c r="I201" i="9"/>
  <c r="I200" i="9"/>
  <c r="I199" i="9"/>
  <c r="I198" i="9"/>
  <c r="I197" i="9"/>
  <c r="I196" i="9"/>
  <c r="I195" i="9"/>
  <c r="I194" i="9"/>
  <c r="I193" i="9"/>
  <c r="I192" i="9"/>
  <c r="I191" i="9"/>
  <c r="I190" i="9"/>
  <c r="I189" i="9"/>
  <c r="I188" i="9"/>
  <c r="I187" i="9"/>
  <c r="I186" i="9"/>
  <c r="I185" i="9"/>
  <c r="I184" i="9"/>
  <c r="I183" i="9"/>
  <c r="I182" i="9"/>
  <c r="I181" i="9"/>
  <c r="I180" i="9"/>
  <c r="I179" i="9"/>
  <c r="I178" i="9"/>
  <c r="I177" i="9"/>
  <c r="I176" i="9"/>
  <c r="I175" i="9"/>
  <c r="I174" i="9"/>
  <c r="I173" i="9"/>
  <c r="I172" i="9"/>
  <c r="I171" i="9"/>
  <c r="I170" i="9"/>
  <c r="I169" i="9"/>
  <c r="I168" i="9"/>
  <c r="I167" i="9"/>
  <c r="I166" i="9"/>
  <c r="I165" i="9"/>
  <c r="I164" i="9"/>
  <c r="I163" i="9"/>
  <c r="I162" i="9"/>
  <c r="I161" i="9"/>
  <c r="I160" i="9"/>
  <c r="I159" i="9"/>
  <c r="I158" i="9"/>
  <c r="I157" i="9"/>
  <c r="I156" i="9"/>
  <c r="I155" i="9"/>
  <c r="I154" i="9"/>
  <c r="I153" i="9"/>
  <c r="I152" i="9"/>
  <c r="I151" i="9"/>
  <c r="I150" i="9"/>
  <c r="I149" i="9"/>
  <c r="I148" i="9"/>
  <c r="I147" i="9"/>
  <c r="I146" i="9"/>
  <c r="I145" i="9"/>
  <c r="I144" i="9"/>
  <c r="I143" i="9"/>
  <c r="I142" i="9"/>
  <c r="I141" i="9"/>
  <c r="I140" i="9"/>
  <c r="I139" i="9"/>
  <c r="I138" i="9"/>
  <c r="I137" i="9"/>
  <c r="I136" i="9"/>
  <c r="I135" i="9"/>
  <c r="I134" i="9"/>
  <c r="I133" i="9"/>
  <c r="I132" i="9"/>
  <c r="I131" i="9"/>
  <c r="I130" i="9"/>
  <c r="I129" i="9"/>
  <c r="I128" i="9"/>
  <c r="I127" i="9"/>
  <c r="I126" i="9"/>
  <c r="I125" i="9"/>
  <c r="I124" i="9"/>
  <c r="I123" i="9"/>
  <c r="I122" i="9"/>
  <c r="I121" i="9"/>
  <c r="I120" i="9"/>
  <c r="I119" i="9"/>
  <c r="I118" i="9"/>
  <c r="I117" i="9"/>
  <c r="I116" i="9"/>
  <c r="I115" i="9"/>
  <c r="I114" i="9"/>
  <c r="I113" i="9"/>
  <c r="I112" i="9"/>
  <c r="I111" i="9"/>
  <c r="I110" i="9"/>
  <c r="I109" i="9"/>
  <c r="I108" i="9"/>
  <c r="I107" i="9"/>
  <c r="I106" i="9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B20" i="9"/>
  <c r="I19" i="9"/>
  <c r="B19" i="9"/>
  <c r="I18" i="9"/>
  <c r="B18" i="9"/>
  <c r="I17" i="9"/>
  <c r="N16" i="9"/>
  <c r="I16" i="9"/>
  <c r="I15" i="9"/>
  <c r="I14" i="9"/>
  <c r="I13" i="9"/>
  <c r="I12" i="9"/>
  <c r="R11" i="9"/>
  <c r="Q11" i="9"/>
  <c r="P11" i="9"/>
  <c r="O11" i="9"/>
  <c r="N11" i="9"/>
  <c r="I11" i="9"/>
  <c r="R10" i="9"/>
  <c r="Q10" i="9"/>
  <c r="P10" i="9"/>
  <c r="O10" i="9"/>
  <c r="N10" i="9"/>
  <c r="I10" i="9"/>
  <c r="R9" i="9"/>
  <c r="Q9" i="9"/>
  <c r="P9" i="9"/>
  <c r="O9" i="9"/>
  <c r="N9" i="9"/>
  <c r="S9" i="9" s="1"/>
  <c r="I9" i="9"/>
  <c r="B9" i="9"/>
  <c r="R8" i="9"/>
  <c r="Q8" i="9"/>
  <c r="P8" i="9"/>
  <c r="O8" i="9"/>
  <c r="N8" i="9"/>
  <c r="S8" i="9" s="1"/>
  <c r="I8" i="9"/>
  <c r="R7" i="9"/>
  <c r="Q7" i="9"/>
  <c r="P7" i="9"/>
  <c r="O7" i="9"/>
  <c r="N7" i="9"/>
  <c r="B11" i="9" s="1"/>
  <c r="I7" i="9"/>
  <c r="R6" i="9"/>
  <c r="Q6" i="9"/>
  <c r="P6" i="9"/>
  <c r="O6" i="9"/>
  <c r="N6" i="9"/>
  <c r="S6" i="9" s="1"/>
  <c r="I6" i="9"/>
  <c r="B6" i="9"/>
  <c r="R5" i="9"/>
  <c r="Q5" i="9"/>
  <c r="P5" i="9"/>
  <c r="O5" i="9"/>
  <c r="N5" i="9"/>
  <c r="S5" i="9" s="1"/>
  <c r="I5" i="9"/>
  <c r="B5" i="9"/>
  <c r="R4" i="9"/>
  <c r="Q4" i="9"/>
  <c r="P4" i="9"/>
  <c r="O4" i="9"/>
  <c r="N4" i="9"/>
  <c r="S4" i="9" s="1"/>
  <c r="I4" i="9"/>
  <c r="B4" i="9"/>
  <c r="R3" i="9"/>
  <c r="Q3" i="9"/>
  <c r="P3" i="9"/>
  <c r="O3" i="9"/>
  <c r="N3" i="9"/>
  <c r="S3" i="9" s="1"/>
  <c r="I3" i="9"/>
  <c r="B3" i="9"/>
  <c r="B7" i="9" s="1"/>
  <c r="R2" i="9"/>
  <c r="Q2" i="9"/>
  <c r="P2" i="9"/>
  <c r="O2" i="9"/>
  <c r="N2" i="9"/>
  <c r="K2" i="9"/>
  <c r="I2" i="9"/>
  <c r="B2" i="9"/>
  <c r="AG410" i="7"/>
  <c r="AF410" i="7"/>
  <c r="AA410" i="7"/>
  <c r="Z410" i="7"/>
  <c r="Y410" i="7"/>
  <c r="X410" i="7"/>
  <c r="V410" i="7"/>
  <c r="U410" i="7"/>
  <c r="T410" i="7"/>
  <c r="S410" i="7"/>
  <c r="R410" i="7"/>
  <c r="AB409" i="7"/>
  <c r="AA409" i="7"/>
  <c r="Z409" i="7"/>
  <c r="Y409" i="7"/>
  <c r="X409" i="7"/>
  <c r="V409" i="7"/>
  <c r="U409" i="7"/>
  <c r="T409" i="7"/>
  <c r="S409" i="7"/>
  <c r="R409" i="7"/>
  <c r="AB408" i="7"/>
  <c r="AA408" i="7"/>
  <c r="Z408" i="7"/>
  <c r="Y408" i="7"/>
  <c r="X408" i="7"/>
  <c r="V408" i="7"/>
  <c r="U408" i="7"/>
  <c r="T408" i="7"/>
  <c r="S408" i="7"/>
  <c r="R408" i="7"/>
  <c r="AB407" i="7"/>
  <c r="AA407" i="7"/>
  <c r="Z407" i="7"/>
  <c r="Y407" i="7"/>
  <c r="X407" i="7"/>
  <c r="V407" i="7"/>
  <c r="U407" i="7"/>
  <c r="T407" i="7"/>
  <c r="S407" i="7"/>
  <c r="R407" i="7"/>
  <c r="AB406" i="7"/>
  <c r="AA406" i="7"/>
  <c r="Z406" i="7"/>
  <c r="Y406" i="7"/>
  <c r="X406" i="7"/>
  <c r="V406" i="7"/>
  <c r="U406" i="7"/>
  <c r="T406" i="7"/>
  <c r="S406" i="7"/>
  <c r="R406" i="7"/>
  <c r="AB405" i="7"/>
  <c r="AA405" i="7"/>
  <c r="Z405" i="7"/>
  <c r="Y405" i="7"/>
  <c r="X405" i="7"/>
  <c r="V405" i="7"/>
  <c r="U405" i="7"/>
  <c r="T405" i="7"/>
  <c r="S405" i="7"/>
  <c r="R405" i="7"/>
  <c r="AB404" i="7"/>
  <c r="AA404" i="7"/>
  <c r="Z404" i="7"/>
  <c r="Y404" i="7"/>
  <c r="X404" i="7"/>
  <c r="V404" i="7"/>
  <c r="U404" i="7"/>
  <c r="T404" i="7"/>
  <c r="S404" i="7"/>
  <c r="R404" i="7"/>
  <c r="AB403" i="7"/>
  <c r="AA403" i="7"/>
  <c r="Z403" i="7"/>
  <c r="Y403" i="7"/>
  <c r="X403" i="7"/>
  <c r="V403" i="7"/>
  <c r="U403" i="7"/>
  <c r="T403" i="7"/>
  <c r="S403" i="7"/>
  <c r="R403" i="7"/>
  <c r="AB402" i="7"/>
  <c r="AA402" i="7"/>
  <c r="Z402" i="7"/>
  <c r="Y402" i="7"/>
  <c r="X402" i="7"/>
  <c r="V402" i="7"/>
  <c r="U402" i="7"/>
  <c r="T402" i="7"/>
  <c r="S402" i="7"/>
  <c r="R402" i="7"/>
  <c r="AB401" i="7"/>
  <c r="AA401" i="7"/>
  <c r="Z401" i="7"/>
  <c r="Y401" i="7"/>
  <c r="X401" i="7"/>
  <c r="V401" i="7"/>
  <c r="U401" i="7"/>
  <c r="AG409" i="7" s="1"/>
  <c r="T401" i="7"/>
  <c r="S401" i="7"/>
  <c r="R401" i="7"/>
  <c r="AB410" i="7" s="1"/>
  <c r="K301" i="7"/>
  <c r="I301" i="7"/>
  <c r="K300" i="7"/>
  <c r="I300" i="7"/>
  <c r="K299" i="7"/>
  <c r="I299" i="7"/>
  <c r="K298" i="7"/>
  <c r="I298" i="7"/>
  <c r="K297" i="7"/>
  <c r="I297" i="7"/>
  <c r="K296" i="7"/>
  <c r="I296" i="7"/>
  <c r="K295" i="7"/>
  <c r="I295" i="7"/>
  <c r="K294" i="7"/>
  <c r="I294" i="7"/>
  <c r="K293" i="7"/>
  <c r="I293" i="7"/>
  <c r="K292" i="7"/>
  <c r="I292" i="7"/>
  <c r="K291" i="7"/>
  <c r="I291" i="7"/>
  <c r="K290" i="7"/>
  <c r="I290" i="7"/>
  <c r="K289" i="7"/>
  <c r="I289" i="7"/>
  <c r="K288" i="7"/>
  <c r="I288" i="7"/>
  <c r="K287" i="7"/>
  <c r="I287" i="7"/>
  <c r="K286" i="7"/>
  <c r="I286" i="7"/>
  <c r="K285" i="7"/>
  <c r="I285" i="7"/>
  <c r="K284" i="7"/>
  <c r="I284" i="7"/>
  <c r="K283" i="7"/>
  <c r="I283" i="7"/>
  <c r="K282" i="7"/>
  <c r="I282" i="7"/>
  <c r="K281" i="7"/>
  <c r="I281" i="7"/>
  <c r="K280" i="7"/>
  <c r="I280" i="7"/>
  <c r="K279" i="7"/>
  <c r="I279" i="7"/>
  <c r="K278" i="7"/>
  <c r="I278" i="7"/>
  <c r="K277" i="7"/>
  <c r="I277" i="7"/>
  <c r="K276" i="7"/>
  <c r="I276" i="7"/>
  <c r="K275" i="7"/>
  <c r="I275" i="7"/>
  <c r="K274" i="7"/>
  <c r="I274" i="7"/>
  <c r="K273" i="7"/>
  <c r="I273" i="7"/>
  <c r="K272" i="7"/>
  <c r="I272" i="7"/>
  <c r="K271" i="7"/>
  <c r="I271" i="7"/>
  <c r="K270" i="7"/>
  <c r="I270" i="7"/>
  <c r="K269" i="7"/>
  <c r="I269" i="7"/>
  <c r="K268" i="7"/>
  <c r="I268" i="7"/>
  <c r="K267" i="7"/>
  <c r="I267" i="7"/>
  <c r="K266" i="7"/>
  <c r="I266" i="7"/>
  <c r="K265" i="7"/>
  <c r="I265" i="7"/>
  <c r="K264" i="7"/>
  <c r="I264" i="7"/>
  <c r="K263" i="7"/>
  <c r="I263" i="7"/>
  <c r="K262" i="7"/>
  <c r="I262" i="7"/>
  <c r="K261" i="7"/>
  <c r="I261" i="7"/>
  <c r="K260" i="7"/>
  <c r="I260" i="7"/>
  <c r="K259" i="7"/>
  <c r="I259" i="7"/>
  <c r="K258" i="7"/>
  <c r="I258" i="7"/>
  <c r="K257" i="7"/>
  <c r="I257" i="7"/>
  <c r="K256" i="7"/>
  <c r="I256" i="7"/>
  <c r="K255" i="7"/>
  <c r="I255" i="7"/>
  <c r="K254" i="7"/>
  <c r="I254" i="7"/>
  <c r="K253" i="7"/>
  <c r="I253" i="7"/>
  <c r="K252" i="7"/>
  <c r="I252" i="7"/>
  <c r="K251" i="7"/>
  <c r="I251" i="7"/>
  <c r="K250" i="7"/>
  <c r="I250" i="7"/>
  <c r="K249" i="7"/>
  <c r="I249" i="7"/>
  <c r="K248" i="7"/>
  <c r="I248" i="7"/>
  <c r="K247" i="7"/>
  <c r="I247" i="7"/>
  <c r="K246" i="7"/>
  <c r="I246" i="7"/>
  <c r="K245" i="7"/>
  <c r="I245" i="7"/>
  <c r="K244" i="7"/>
  <c r="I244" i="7"/>
  <c r="K243" i="7"/>
  <c r="I243" i="7"/>
  <c r="K242" i="7"/>
  <c r="I242" i="7"/>
  <c r="K241" i="7"/>
  <c r="I241" i="7"/>
  <c r="K240" i="7"/>
  <c r="I240" i="7"/>
  <c r="K239" i="7"/>
  <c r="I239" i="7"/>
  <c r="K238" i="7"/>
  <c r="I238" i="7"/>
  <c r="K237" i="7"/>
  <c r="I237" i="7"/>
  <c r="K236" i="7"/>
  <c r="I236" i="7"/>
  <c r="K235" i="7"/>
  <c r="I235" i="7"/>
  <c r="K234" i="7"/>
  <c r="I234" i="7"/>
  <c r="K233" i="7"/>
  <c r="I233" i="7"/>
  <c r="K232" i="7"/>
  <c r="I232" i="7"/>
  <c r="K231" i="7"/>
  <c r="I231" i="7"/>
  <c r="K230" i="7"/>
  <c r="I230" i="7"/>
  <c r="K229" i="7"/>
  <c r="I229" i="7"/>
  <c r="K228" i="7"/>
  <c r="I228" i="7"/>
  <c r="K227" i="7"/>
  <c r="I227" i="7"/>
  <c r="K226" i="7"/>
  <c r="I226" i="7"/>
  <c r="K225" i="7"/>
  <c r="I225" i="7"/>
  <c r="K224" i="7"/>
  <c r="I224" i="7"/>
  <c r="K223" i="7"/>
  <c r="I223" i="7"/>
  <c r="K222" i="7"/>
  <c r="I222" i="7"/>
  <c r="K221" i="7"/>
  <c r="I221" i="7"/>
  <c r="K220" i="7"/>
  <c r="I220" i="7"/>
  <c r="K219" i="7"/>
  <c r="I219" i="7"/>
  <c r="K218" i="7"/>
  <c r="I218" i="7"/>
  <c r="K217" i="7"/>
  <c r="I217" i="7"/>
  <c r="K216" i="7"/>
  <c r="I216" i="7"/>
  <c r="K215" i="7"/>
  <c r="I215" i="7"/>
  <c r="K214" i="7"/>
  <c r="I214" i="7"/>
  <c r="K213" i="7"/>
  <c r="I213" i="7"/>
  <c r="K212" i="7"/>
  <c r="I212" i="7"/>
  <c r="K211" i="7"/>
  <c r="I211" i="7"/>
  <c r="K210" i="7"/>
  <c r="I210" i="7"/>
  <c r="K209" i="7"/>
  <c r="I209" i="7"/>
  <c r="K208" i="7"/>
  <c r="I208" i="7"/>
  <c r="K207" i="7"/>
  <c r="I207" i="7"/>
  <c r="K206" i="7"/>
  <c r="I206" i="7"/>
  <c r="K205" i="7"/>
  <c r="I205" i="7"/>
  <c r="K204" i="7"/>
  <c r="I204" i="7"/>
  <c r="K203" i="7"/>
  <c r="I203" i="7"/>
  <c r="K202" i="7"/>
  <c r="I202" i="7"/>
  <c r="K201" i="7"/>
  <c r="I201" i="7"/>
  <c r="K200" i="7"/>
  <c r="I200" i="7"/>
  <c r="K199" i="7"/>
  <c r="I199" i="7"/>
  <c r="K198" i="7"/>
  <c r="I198" i="7"/>
  <c r="K197" i="7"/>
  <c r="I197" i="7"/>
  <c r="K196" i="7"/>
  <c r="I196" i="7"/>
  <c r="K195" i="7"/>
  <c r="I195" i="7"/>
  <c r="K194" i="7"/>
  <c r="I194" i="7"/>
  <c r="K193" i="7"/>
  <c r="I193" i="7"/>
  <c r="K192" i="7"/>
  <c r="I192" i="7"/>
  <c r="K191" i="7"/>
  <c r="I191" i="7"/>
  <c r="K190" i="7"/>
  <c r="I190" i="7"/>
  <c r="K189" i="7"/>
  <c r="I189" i="7"/>
  <c r="K188" i="7"/>
  <c r="I188" i="7"/>
  <c r="K187" i="7"/>
  <c r="I187" i="7"/>
  <c r="K186" i="7"/>
  <c r="I186" i="7"/>
  <c r="K185" i="7"/>
  <c r="I185" i="7"/>
  <c r="K184" i="7"/>
  <c r="I184" i="7"/>
  <c r="K183" i="7"/>
  <c r="I183" i="7"/>
  <c r="K182" i="7"/>
  <c r="I182" i="7"/>
  <c r="K181" i="7"/>
  <c r="I181" i="7"/>
  <c r="K180" i="7"/>
  <c r="I180" i="7"/>
  <c r="K179" i="7"/>
  <c r="I179" i="7"/>
  <c r="K178" i="7"/>
  <c r="I178" i="7"/>
  <c r="K177" i="7"/>
  <c r="I177" i="7"/>
  <c r="K176" i="7"/>
  <c r="I176" i="7"/>
  <c r="K175" i="7"/>
  <c r="I175" i="7"/>
  <c r="K174" i="7"/>
  <c r="I174" i="7"/>
  <c r="K173" i="7"/>
  <c r="I173" i="7"/>
  <c r="K172" i="7"/>
  <c r="I172" i="7"/>
  <c r="K171" i="7"/>
  <c r="I171" i="7"/>
  <c r="K170" i="7"/>
  <c r="I170" i="7"/>
  <c r="K169" i="7"/>
  <c r="I169" i="7"/>
  <c r="K168" i="7"/>
  <c r="I168" i="7"/>
  <c r="K167" i="7"/>
  <c r="I167" i="7"/>
  <c r="K166" i="7"/>
  <c r="I166" i="7"/>
  <c r="K165" i="7"/>
  <c r="I165" i="7"/>
  <c r="K164" i="7"/>
  <c r="I164" i="7"/>
  <c r="K163" i="7"/>
  <c r="I163" i="7"/>
  <c r="K162" i="7"/>
  <c r="I162" i="7"/>
  <c r="K161" i="7"/>
  <c r="I161" i="7"/>
  <c r="K160" i="7"/>
  <c r="I160" i="7"/>
  <c r="K159" i="7"/>
  <c r="I159" i="7"/>
  <c r="K158" i="7"/>
  <c r="I158" i="7"/>
  <c r="K157" i="7"/>
  <c r="I157" i="7"/>
  <c r="K156" i="7"/>
  <c r="I156" i="7"/>
  <c r="K155" i="7"/>
  <c r="I155" i="7"/>
  <c r="K154" i="7"/>
  <c r="I154" i="7"/>
  <c r="K153" i="7"/>
  <c r="I153" i="7"/>
  <c r="K152" i="7"/>
  <c r="I152" i="7"/>
  <c r="K151" i="7"/>
  <c r="I151" i="7"/>
  <c r="K150" i="7"/>
  <c r="I150" i="7"/>
  <c r="K149" i="7"/>
  <c r="I149" i="7"/>
  <c r="K148" i="7"/>
  <c r="I148" i="7"/>
  <c r="K147" i="7"/>
  <c r="I147" i="7"/>
  <c r="K146" i="7"/>
  <c r="I146" i="7"/>
  <c r="K145" i="7"/>
  <c r="I145" i="7"/>
  <c r="K144" i="7"/>
  <c r="I144" i="7"/>
  <c r="K143" i="7"/>
  <c r="I143" i="7"/>
  <c r="K142" i="7"/>
  <c r="I142" i="7"/>
  <c r="K141" i="7"/>
  <c r="I141" i="7"/>
  <c r="K140" i="7"/>
  <c r="I140" i="7"/>
  <c r="K139" i="7"/>
  <c r="I139" i="7"/>
  <c r="K138" i="7"/>
  <c r="I138" i="7"/>
  <c r="K137" i="7"/>
  <c r="I137" i="7"/>
  <c r="K136" i="7"/>
  <c r="I136" i="7"/>
  <c r="K135" i="7"/>
  <c r="I135" i="7"/>
  <c r="K134" i="7"/>
  <c r="I134" i="7"/>
  <c r="K133" i="7"/>
  <c r="I133" i="7"/>
  <c r="K132" i="7"/>
  <c r="I132" i="7"/>
  <c r="K131" i="7"/>
  <c r="I131" i="7"/>
  <c r="K130" i="7"/>
  <c r="I130" i="7"/>
  <c r="K129" i="7"/>
  <c r="I129" i="7"/>
  <c r="K128" i="7"/>
  <c r="I128" i="7"/>
  <c r="K127" i="7"/>
  <c r="I127" i="7"/>
  <c r="K126" i="7"/>
  <c r="I126" i="7"/>
  <c r="K125" i="7"/>
  <c r="I125" i="7"/>
  <c r="K124" i="7"/>
  <c r="I124" i="7"/>
  <c r="K123" i="7"/>
  <c r="I123" i="7"/>
  <c r="K122" i="7"/>
  <c r="I122" i="7"/>
  <c r="K121" i="7"/>
  <c r="I121" i="7"/>
  <c r="K120" i="7"/>
  <c r="I120" i="7"/>
  <c r="K119" i="7"/>
  <c r="I119" i="7"/>
  <c r="K118" i="7"/>
  <c r="I118" i="7"/>
  <c r="K117" i="7"/>
  <c r="I117" i="7"/>
  <c r="K116" i="7"/>
  <c r="I116" i="7"/>
  <c r="K115" i="7"/>
  <c r="I115" i="7"/>
  <c r="K114" i="7"/>
  <c r="I114" i="7"/>
  <c r="K113" i="7"/>
  <c r="I113" i="7"/>
  <c r="K112" i="7"/>
  <c r="I112" i="7"/>
  <c r="K111" i="7"/>
  <c r="I111" i="7"/>
  <c r="K110" i="7"/>
  <c r="I110" i="7"/>
  <c r="K109" i="7"/>
  <c r="I109" i="7"/>
  <c r="K108" i="7"/>
  <c r="I108" i="7"/>
  <c r="K107" i="7"/>
  <c r="I107" i="7"/>
  <c r="K106" i="7"/>
  <c r="I106" i="7"/>
  <c r="K105" i="7"/>
  <c r="I105" i="7"/>
  <c r="K104" i="7"/>
  <c r="I104" i="7"/>
  <c r="K103" i="7"/>
  <c r="I103" i="7"/>
  <c r="K102" i="7"/>
  <c r="I102" i="7"/>
  <c r="K101" i="7"/>
  <c r="I101" i="7"/>
  <c r="K100" i="7"/>
  <c r="I100" i="7"/>
  <c r="K99" i="7"/>
  <c r="I99" i="7"/>
  <c r="K98" i="7"/>
  <c r="I98" i="7"/>
  <c r="K97" i="7"/>
  <c r="I97" i="7"/>
  <c r="K96" i="7"/>
  <c r="I96" i="7"/>
  <c r="K95" i="7"/>
  <c r="I95" i="7"/>
  <c r="K94" i="7"/>
  <c r="I94" i="7"/>
  <c r="K93" i="7"/>
  <c r="I93" i="7"/>
  <c r="K92" i="7"/>
  <c r="I92" i="7"/>
  <c r="K91" i="7"/>
  <c r="I91" i="7"/>
  <c r="K90" i="7"/>
  <c r="I90" i="7"/>
  <c r="K89" i="7"/>
  <c r="I89" i="7"/>
  <c r="K88" i="7"/>
  <c r="I88" i="7"/>
  <c r="K87" i="7"/>
  <c r="I87" i="7"/>
  <c r="K86" i="7"/>
  <c r="I86" i="7"/>
  <c r="K85" i="7"/>
  <c r="I85" i="7"/>
  <c r="K84" i="7"/>
  <c r="I84" i="7"/>
  <c r="K83" i="7"/>
  <c r="I83" i="7"/>
  <c r="K82" i="7"/>
  <c r="I82" i="7"/>
  <c r="K81" i="7"/>
  <c r="I81" i="7"/>
  <c r="K80" i="7"/>
  <c r="I80" i="7"/>
  <c r="K79" i="7"/>
  <c r="I79" i="7"/>
  <c r="K78" i="7"/>
  <c r="I78" i="7"/>
  <c r="K77" i="7"/>
  <c r="I77" i="7"/>
  <c r="K76" i="7"/>
  <c r="I76" i="7"/>
  <c r="K75" i="7"/>
  <c r="I75" i="7"/>
  <c r="K74" i="7"/>
  <c r="I74" i="7"/>
  <c r="K73" i="7"/>
  <c r="I73" i="7"/>
  <c r="K72" i="7"/>
  <c r="I72" i="7"/>
  <c r="K71" i="7"/>
  <c r="I71" i="7"/>
  <c r="K70" i="7"/>
  <c r="I70" i="7"/>
  <c r="K69" i="7"/>
  <c r="I69" i="7"/>
  <c r="K68" i="7"/>
  <c r="I68" i="7"/>
  <c r="K67" i="7"/>
  <c r="I67" i="7"/>
  <c r="K66" i="7"/>
  <c r="I66" i="7"/>
  <c r="K65" i="7"/>
  <c r="I65" i="7"/>
  <c r="K64" i="7"/>
  <c r="I64" i="7"/>
  <c r="K63" i="7"/>
  <c r="I63" i="7"/>
  <c r="K62" i="7"/>
  <c r="I62" i="7"/>
  <c r="K61" i="7"/>
  <c r="I61" i="7"/>
  <c r="K60" i="7"/>
  <c r="I60" i="7"/>
  <c r="K59" i="7"/>
  <c r="I59" i="7"/>
  <c r="K58" i="7"/>
  <c r="I58" i="7"/>
  <c r="K57" i="7"/>
  <c r="I57" i="7"/>
  <c r="K56" i="7"/>
  <c r="I56" i="7"/>
  <c r="K55" i="7"/>
  <c r="I55" i="7"/>
  <c r="K54" i="7"/>
  <c r="I54" i="7"/>
  <c r="K53" i="7"/>
  <c r="I53" i="7"/>
  <c r="K52" i="7"/>
  <c r="I52" i="7"/>
  <c r="K51" i="7"/>
  <c r="I51" i="7"/>
  <c r="K50" i="7"/>
  <c r="I50" i="7"/>
  <c r="K49" i="7"/>
  <c r="I49" i="7"/>
  <c r="K48" i="7"/>
  <c r="I48" i="7"/>
  <c r="K47" i="7"/>
  <c r="I47" i="7"/>
  <c r="K46" i="7"/>
  <c r="I46" i="7"/>
  <c r="K45" i="7"/>
  <c r="I45" i="7"/>
  <c r="K44" i="7"/>
  <c r="I44" i="7"/>
  <c r="K43" i="7"/>
  <c r="I43" i="7"/>
  <c r="K42" i="7"/>
  <c r="I42" i="7"/>
  <c r="K41" i="7"/>
  <c r="I41" i="7"/>
  <c r="K40" i="7"/>
  <c r="I40" i="7"/>
  <c r="K39" i="7"/>
  <c r="I39" i="7"/>
  <c r="K38" i="7"/>
  <c r="I38" i="7"/>
  <c r="K37" i="7"/>
  <c r="I37" i="7"/>
  <c r="K36" i="7"/>
  <c r="I36" i="7"/>
  <c r="K35" i="7"/>
  <c r="I35" i="7"/>
  <c r="K34" i="7"/>
  <c r="I34" i="7"/>
  <c r="K33" i="7"/>
  <c r="I33" i="7"/>
  <c r="K32" i="7"/>
  <c r="I32" i="7"/>
  <c r="K31" i="7"/>
  <c r="I31" i="7"/>
  <c r="K30" i="7"/>
  <c r="I30" i="7"/>
  <c r="K29" i="7"/>
  <c r="I29" i="7"/>
  <c r="K28" i="7"/>
  <c r="I28" i="7"/>
  <c r="K27" i="7"/>
  <c r="I27" i="7"/>
  <c r="K26" i="7"/>
  <c r="I26" i="7"/>
  <c r="K25" i="7"/>
  <c r="I25" i="7"/>
  <c r="K24" i="7"/>
  <c r="I24" i="7"/>
  <c r="K23" i="7"/>
  <c r="I23" i="7"/>
  <c r="K22" i="7"/>
  <c r="I22" i="7"/>
  <c r="K21" i="7"/>
  <c r="I21" i="7"/>
  <c r="K20" i="7"/>
  <c r="I20" i="7"/>
  <c r="B20" i="7"/>
  <c r="K19" i="7"/>
  <c r="I19" i="7"/>
  <c r="B19" i="7"/>
  <c r="K18" i="7"/>
  <c r="I18" i="7"/>
  <c r="B18" i="7"/>
  <c r="K17" i="7"/>
  <c r="I17" i="7"/>
  <c r="N16" i="7"/>
  <c r="K16" i="7"/>
  <c r="I16" i="7"/>
  <c r="K15" i="7"/>
  <c r="I15" i="7"/>
  <c r="K14" i="7"/>
  <c r="I14" i="7"/>
  <c r="K13" i="7"/>
  <c r="I13" i="7"/>
  <c r="K12" i="7"/>
  <c r="I12" i="7"/>
  <c r="R11" i="7"/>
  <c r="Q11" i="7"/>
  <c r="P11" i="7"/>
  <c r="O11" i="7"/>
  <c r="N11" i="7"/>
  <c r="K11" i="7"/>
  <c r="I11" i="7"/>
  <c r="R10" i="7"/>
  <c r="Q10" i="7"/>
  <c r="P10" i="7"/>
  <c r="O10" i="7"/>
  <c r="N10" i="7"/>
  <c r="B12" i="7" s="1"/>
  <c r="K10" i="7"/>
  <c r="I10" i="7"/>
  <c r="R9" i="7"/>
  <c r="Q9" i="7"/>
  <c r="P9" i="7"/>
  <c r="O9" i="7"/>
  <c r="N9" i="7"/>
  <c r="S9" i="7" s="1"/>
  <c r="K9" i="7"/>
  <c r="I9" i="7"/>
  <c r="B9" i="7"/>
  <c r="R8" i="7"/>
  <c r="Q8" i="7"/>
  <c r="P8" i="7"/>
  <c r="O8" i="7"/>
  <c r="N8" i="7"/>
  <c r="S8" i="7" s="1"/>
  <c r="K8" i="7"/>
  <c r="I8" i="7"/>
  <c r="R7" i="7"/>
  <c r="Q7" i="7"/>
  <c r="P7" i="7"/>
  <c r="O7" i="7"/>
  <c r="N7" i="7"/>
  <c r="B11" i="7" s="1"/>
  <c r="K7" i="7"/>
  <c r="I7" i="7"/>
  <c r="R6" i="7"/>
  <c r="Q6" i="7"/>
  <c r="P6" i="7"/>
  <c r="O6" i="7"/>
  <c r="N6" i="7"/>
  <c r="S6" i="7" s="1"/>
  <c r="K6" i="7"/>
  <c r="I6" i="7"/>
  <c r="B6" i="7"/>
  <c r="R5" i="7"/>
  <c r="Q5" i="7"/>
  <c r="P5" i="7"/>
  <c r="O5" i="7"/>
  <c r="N5" i="7"/>
  <c r="S5" i="7" s="1"/>
  <c r="K5" i="7"/>
  <c r="I5" i="7"/>
  <c r="B5" i="7"/>
  <c r="S4" i="7"/>
  <c r="R4" i="7"/>
  <c r="Q4" i="7"/>
  <c r="P4" i="7"/>
  <c r="O4" i="7"/>
  <c r="N4" i="7"/>
  <c r="K4" i="7"/>
  <c r="I4" i="7"/>
  <c r="B4" i="7"/>
  <c r="R3" i="7"/>
  <c r="Q3" i="7"/>
  <c r="P3" i="7"/>
  <c r="O3" i="7"/>
  <c r="N3" i="7"/>
  <c r="S3" i="7" s="1"/>
  <c r="K3" i="7"/>
  <c r="I3" i="7"/>
  <c r="B3" i="7"/>
  <c r="B7" i="7" s="1"/>
  <c r="R2" i="7"/>
  <c r="Q2" i="7"/>
  <c r="P2" i="7"/>
  <c r="O2" i="7"/>
  <c r="N2" i="7"/>
  <c r="S2" i="7" s="1"/>
  <c r="K2" i="7"/>
  <c r="I2" i="7"/>
  <c r="B2" i="7"/>
  <c r="AG410" i="6"/>
  <c r="AF410" i="6"/>
  <c r="AA410" i="6"/>
  <c r="Z410" i="6"/>
  <c r="Y410" i="6"/>
  <c r="X410" i="6"/>
  <c r="V410" i="6"/>
  <c r="U410" i="6"/>
  <c r="T410" i="6"/>
  <c r="S410" i="6"/>
  <c r="R410" i="6"/>
  <c r="AB409" i="6"/>
  <c r="AA409" i="6"/>
  <c r="Z409" i="6"/>
  <c r="Y409" i="6"/>
  <c r="X409" i="6"/>
  <c r="V409" i="6"/>
  <c r="U409" i="6"/>
  <c r="T409" i="6"/>
  <c r="S409" i="6"/>
  <c r="R409" i="6"/>
  <c r="AB408" i="6"/>
  <c r="AA408" i="6"/>
  <c r="Z408" i="6"/>
  <c r="Y408" i="6"/>
  <c r="X408" i="6"/>
  <c r="V408" i="6"/>
  <c r="U408" i="6"/>
  <c r="T408" i="6"/>
  <c r="S408" i="6"/>
  <c r="R408" i="6"/>
  <c r="AB407" i="6"/>
  <c r="AA407" i="6"/>
  <c r="Z407" i="6"/>
  <c r="Y407" i="6"/>
  <c r="X407" i="6"/>
  <c r="V407" i="6"/>
  <c r="U407" i="6"/>
  <c r="T407" i="6"/>
  <c r="S407" i="6"/>
  <c r="R407" i="6"/>
  <c r="AB406" i="6"/>
  <c r="AA406" i="6"/>
  <c r="Z406" i="6"/>
  <c r="Y406" i="6"/>
  <c r="X406" i="6"/>
  <c r="V406" i="6"/>
  <c r="U406" i="6"/>
  <c r="T406" i="6"/>
  <c r="S406" i="6"/>
  <c r="R406" i="6"/>
  <c r="AB405" i="6"/>
  <c r="AA405" i="6"/>
  <c r="Z405" i="6"/>
  <c r="Y405" i="6"/>
  <c r="X405" i="6"/>
  <c r="V405" i="6"/>
  <c r="U405" i="6"/>
  <c r="T405" i="6"/>
  <c r="S405" i="6"/>
  <c r="R405" i="6"/>
  <c r="AB404" i="6"/>
  <c r="AA404" i="6"/>
  <c r="Z404" i="6"/>
  <c r="Y404" i="6"/>
  <c r="X404" i="6"/>
  <c r="V404" i="6"/>
  <c r="U404" i="6"/>
  <c r="T404" i="6"/>
  <c r="S404" i="6"/>
  <c r="R404" i="6"/>
  <c r="AB403" i="6"/>
  <c r="AA403" i="6"/>
  <c r="Z403" i="6"/>
  <c r="Y403" i="6"/>
  <c r="X403" i="6"/>
  <c r="V403" i="6"/>
  <c r="U403" i="6"/>
  <c r="T403" i="6"/>
  <c r="S403" i="6"/>
  <c r="R403" i="6"/>
  <c r="AB402" i="6"/>
  <c r="AA402" i="6"/>
  <c r="Z402" i="6"/>
  <c r="Y402" i="6"/>
  <c r="X402" i="6"/>
  <c r="V402" i="6"/>
  <c r="U402" i="6"/>
  <c r="T402" i="6"/>
  <c r="S402" i="6"/>
  <c r="R402" i="6"/>
  <c r="AB401" i="6"/>
  <c r="AA401" i="6"/>
  <c r="Z401" i="6"/>
  <c r="Y401" i="6"/>
  <c r="X401" i="6"/>
  <c r="AH410" i="6" s="1"/>
  <c r="V401" i="6"/>
  <c r="U401" i="6"/>
  <c r="AG409" i="6" s="1"/>
  <c r="T401" i="6"/>
  <c r="S401" i="6"/>
  <c r="R401" i="6"/>
  <c r="K301" i="6"/>
  <c r="I301" i="6"/>
  <c r="K300" i="6"/>
  <c r="I300" i="6"/>
  <c r="K299" i="6"/>
  <c r="I299" i="6"/>
  <c r="K298" i="6"/>
  <c r="I298" i="6"/>
  <c r="K297" i="6"/>
  <c r="I297" i="6"/>
  <c r="K296" i="6"/>
  <c r="I296" i="6"/>
  <c r="K295" i="6"/>
  <c r="I295" i="6"/>
  <c r="K294" i="6"/>
  <c r="I294" i="6"/>
  <c r="K293" i="6"/>
  <c r="I293" i="6"/>
  <c r="K292" i="6"/>
  <c r="I292" i="6"/>
  <c r="K291" i="6"/>
  <c r="I291" i="6"/>
  <c r="K290" i="6"/>
  <c r="I290" i="6"/>
  <c r="K289" i="6"/>
  <c r="I289" i="6"/>
  <c r="K288" i="6"/>
  <c r="I288" i="6"/>
  <c r="K287" i="6"/>
  <c r="I287" i="6"/>
  <c r="K286" i="6"/>
  <c r="I286" i="6"/>
  <c r="K285" i="6"/>
  <c r="I285" i="6"/>
  <c r="K284" i="6"/>
  <c r="I284" i="6"/>
  <c r="K283" i="6"/>
  <c r="I283" i="6"/>
  <c r="K282" i="6"/>
  <c r="I282" i="6"/>
  <c r="K281" i="6"/>
  <c r="I281" i="6"/>
  <c r="K280" i="6"/>
  <c r="I280" i="6"/>
  <c r="K279" i="6"/>
  <c r="I279" i="6"/>
  <c r="K278" i="6"/>
  <c r="I278" i="6"/>
  <c r="K277" i="6"/>
  <c r="I277" i="6"/>
  <c r="K276" i="6"/>
  <c r="I276" i="6"/>
  <c r="K275" i="6"/>
  <c r="I275" i="6"/>
  <c r="K274" i="6"/>
  <c r="I274" i="6"/>
  <c r="K273" i="6"/>
  <c r="I273" i="6"/>
  <c r="K272" i="6"/>
  <c r="I272" i="6"/>
  <c r="K271" i="6"/>
  <c r="I271" i="6"/>
  <c r="K270" i="6"/>
  <c r="I270" i="6"/>
  <c r="K269" i="6"/>
  <c r="I269" i="6"/>
  <c r="K268" i="6"/>
  <c r="I268" i="6"/>
  <c r="K267" i="6"/>
  <c r="I267" i="6"/>
  <c r="K266" i="6"/>
  <c r="I266" i="6"/>
  <c r="K265" i="6"/>
  <c r="I265" i="6"/>
  <c r="K264" i="6"/>
  <c r="I264" i="6"/>
  <c r="K263" i="6"/>
  <c r="I263" i="6"/>
  <c r="K262" i="6"/>
  <c r="I262" i="6"/>
  <c r="K261" i="6"/>
  <c r="I261" i="6"/>
  <c r="K260" i="6"/>
  <c r="I260" i="6"/>
  <c r="K259" i="6"/>
  <c r="I259" i="6"/>
  <c r="K258" i="6"/>
  <c r="I258" i="6"/>
  <c r="K257" i="6"/>
  <c r="I257" i="6"/>
  <c r="K256" i="6"/>
  <c r="I256" i="6"/>
  <c r="K255" i="6"/>
  <c r="I255" i="6"/>
  <c r="K254" i="6"/>
  <c r="I254" i="6"/>
  <c r="K253" i="6"/>
  <c r="I253" i="6"/>
  <c r="K252" i="6"/>
  <c r="I252" i="6"/>
  <c r="K251" i="6"/>
  <c r="I251" i="6"/>
  <c r="K250" i="6"/>
  <c r="I250" i="6"/>
  <c r="K249" i="6"/>
  <c r="I249" i="6"/>
  <c r="K248" i="6"/>
  <c r="I248" i="6"/>
  <c r="K247" i="6"/>
  <c r="I247" i="6"/>
  <c r="K246" i="6"/>
  <c r="I246" i="6"/>
  <c r="K245" i="6"/>
  <c r="I245" i="6"/>
  <c r="K244" i="6"/>
  <c r="I244" i="6"/>
  <c r="K243" i="6"/>
  <c r="I243" i="6"/>
  <c r="K242" i="6"/>
  <c r="I242" i="6"/>
  <c r="K241" i="6"/>
  <c r="I241" i="6"/>
  <c r="K240" i="6"/>
  <c r="I240" i="6"/>
  <c r="K239" i="6"/>
  <c r="I239" i="6"/>
  <c r="K238" i="6"/>
  <c r="I238" i="6"/>
  <c r="K237" i="6"/>
  <c r="I237" i="6"/>
  <c r="K236" i="6"/>
  <c r="I236" i="6"/>
  <c r="K235" i="6"/>
  <c r="I235" i="6"/>
  <c r="K234" i="6"/>
  <c r="I234" i="6"/>
  <c r="K233" i="6"/>
  <c r="I233" i="6"/>
  <c r="K232" i="6"/>
  <c r="I232" i="6"/>
  <c r="K231" i="6"/>
  <c r="I231" i="6"/>
  <c r="K230" i="6"/>
  <c r="I230" i="6"/>
  <c r="K229" i="6"/>
  <c r="I229" i="6"/>
  <c r="K228" i="6"/>
  <c r="I228" i="6"/>
  <c r="K227" i="6"/>
  <c r="I227" i="6"/>
  <c r="K226" i="6"/>
  <c r="I226" i="6"/>
  <c r="K225" i="6"/>
  <c r="I225" i="6"/>
  <c r="K224" i="6"/>
  <c r="I224" i="6"/>
  <c r="K223" i="6"/>
  <c r="I223" i="6"/>
  <c r="K222" i="6"/>
  <c r="I222" i="6"/>
  <c r="K221" i="6"/>
  <c r="I221" i="6"/>
  <c r="K220" i="6"/>
  <c r="I220" i="6"/>
  <c r="K219" i="6"/>
  <c r="I219" i="6"/>
  <c r="K218" i="6"/>
  <c r="I218" i="6"/>
  <c r="K217" i="6"/>
  <c r="I217" i="6"/>
  <c r="K216" i="6"/>
  <c r="I216" i="6"/>
  <c r="K215" i="6"/>
  <c r="I215" i="6"/>
  <c r="K214" i="6"/>
  <c r="I214" i="6"/>
  <c r="K213" i="6"/>
  <c r="I213" i="6"/>
  <c r="K212" i="6"/>
  <c r="I212" i="6"/>
  <c r="K211" i="6"/>
  <c r="I211" i="6"/>
  <c r="K210" i="6"/>
  <c r="I210" i="6"/>
  <c r="K209" i="6"/>
  <c r="I209" i="6"/>
  <c r="K208" i="6"/>
  <c r="I208" i="6"/>
  <c r="K207" i="6"/>
  <c r="I207" i="6"/>
  <c r="K206" i="6"/>
  <c r="I206" i="6"/>
  <c r="K205" i="6"/>
  <c r="I205" i="6"/>
  <c r="K204" i="6"/>
  <c r="I204" i="6"/>
  <c r="K203" i="6"/>
  <c r="I203" i="6"/>
  <c r="K202" i="6"/>
  <c r="I202" i="6"/>
  <c r="K201" i="6"/>
  <c r="I201" i="6"/>
  <c r="K200" i="6"/>
  <c r="I200" i="6"/>
  <c r="K199" i="6"/>
  <c r="I199" i="6"/>
  <c r="K198" i="6"/>
  <c r="I198" i="6"/>
  <c r="K197" i="6"/>
  <c r="I197" i="6"/>
  <c r="K196" i="6"/>
  <c r="I196" i="6"/>
  <c r="K195" i="6"/>
  <c r="I195" i="6"/>
  <c r="K194" i="6"/>
  <c r="I194" i="6"/>
  <c r="K193" i="6"/>
  <c r="I193" i="6"/>
  <c r="K192" i="6"/>
  <c r="I192" i="6"/>
  <c r="K191" i="6"/>
  <c r="I191" i="6"/>
  <c r="K190" i="6"/>
  <c r="I190" i="6"/>
  <c r="K189" i="6"/>
  <c r="I189" i="6"/>
  <c r="K188" i="6"/>
  <c r="I188" i="6"/>
  <c r="K187" i="6"/>
  <c r="I187" i="6"/>
  <c r="K186" i="6"/>
  <c r="I186" i="6"/>
  <c r="K185" i="6"/>
  <c r="I185" i="6"/>
  <c r="K184" i="6"/>
  <c r="I184" i="6"/>
  <c r="K183" i="6"/>
  <c r="I183" i="6"/>
  <c r="K182" i="6"/>
  <c r="I182" i="6"/>
  <c r="K181" i="6"/>
  <c r="I181" i="6"/>
  <c r="K180" i="6"/>
  <c r="I180" i="6"/>
  <c r="K179" i="6"/>
  <c r="I179" i="6"/>
  <c r="K178" i="6"/>
  <c r="I178" i="6"/>
  <c r="K177" i="6"/>
  <c r="I177" i="6"/>
  <c r="K176" i="6"/>
  <c r="I176" i="6"/>
  <c r="K175" i="6"/>
  <c r="I175" i="6"/>
  <c r="K174" i="6"/>
  <c r="I174" i="6"/>
  <c r="K173" i="6"/>
  <c r="I173" i="6"/>
  <c r="K172" i="6"/>
  <c r="I172" i="6"/>
  <c r="K171" i="6"/>
  <c r="I171" i="6"/>
  <c r="K170" i="6"/>
  <c r="I170" i="6"/>
  <c r="K169" i="6"/>
  <c r="I169" i="6"/>
  <c r="K168" i="6"/>
  <c r="I168" i="6"/>
  <c r="K167" i="6"/>
  <c r="I167" i="6"/>
  <c r="K166" i="6"/>
  <c r="I166" i="6"/>
  <c r="K165" i="6"/>
  <c r="I165" i="6"/>
  <c r="K164" i="6"/>
  <c r="I164" i="6"/>
  <c r="K163" i="6"/>
  <c r="I163" i="6"/>
  <c r="K162" i="6"/>
  <c r="I162" i="6"/>
  <c r="K161" i="6"/>
  <c r="I161" i="6"/>
  <c r="K160" i="6"/>
  <c r="I160" i="6"/>
  <c r="K159" i="6"/>
  <c r="I159" i="6"/>
  <c r="K158" i="6"/>
  <c r="I158" i="6"/>
  <c r="K157" i="6"/>
  <c r="I157" i="6"/>
  <c r="K156" i="6"/>
  <c r="I156" i="6"/>
  <c r="K155" i="6"/>
  <c r="I155" i="6"/>
  <c r="K154" i="6"/>
  <c r="I154" i="6"/>
  <c r="K153" i="6"/>
  <c r="I153" i="6"/>
  <c r="K152" i="6"/>
  <c r="I152" i="6"/>
  <c r="K151" i="6"/>
  <c r="I151" i="6"/>
  <c r="K150" i="6"/>
  <c r="I150" i="6"/>
  <c r="K149" i="6"/>
  <c r="I149" i="6"/>
  <c r="K148" i="6"/>
  <c r="I148" i="6"/>
  <c r="K147" i="6"/>
  <c r="I147" i="6"/>
  <c r="K146" i="6"/>
  <c r="I146" i="6"/>
  <c r="K145" i="6"/>
  <c r="I145" i="6"/>
  <c r="K144" i="6"/>
  <c r="I144" i="6"/>
  <c r="K143" i="6"/>
  <c r="I143" i="6"/>
  <c r="K142" i="6"/>
  <c r="I142" i="6"/>
  <c r="K141" i="6"/>
  <c r="I141" i="6"/>
  <c r="K140" i="6"/>
  <c r="I140" i="6"/>
  <c r="K139" i="6"/>
  <c r="I139" i="6"/>
  <c r="K138" i="6"/>
  <c r="I138" i="6"/>
  <c r="K137" i="6"/>
  <c r="I137" i="6"/>
  <c r="K136" i="6"/>
  <c r="I136" i="6"/>
  <c r="K135" i="6"/>
  <c r="I135" i="6"/>
  <c r="K134" i="6"/>
  <c r="I134" i="6"/>
  <c r="K133" i="6"/>
  <c r="I133" i="6"/>
  <c r="K132" i="6"/>
  <c r="I132" i="6"/>
  <c r="K131" i="6"/>
  <c r="I131" i="6"/>
  <c r="K130" i="6"/>
  <c r="I130" i="6"/>
  <c r="K129" i="6"/>
  <c r="I129" i="6"/>
  <c r="K128" i="6"/>
  <c r="I128" i="6"/>
  <c r="K127" i="6"/>
  <c r="I127" i="6"/>
  <c r="K126" i="6"/>
  <c r="I126" i="6"/>
  <c r="K125" i="6"/>
  <c r="I125" i="6"/>
  <c r="K124" i="6"/>
  <c r="I124" i="6"/>
  <c r="K123" i="6"/>
  <c r="I123" i="6"/>
  <c r="K122" i="6"/>
  <c r="I122" i="6"/>
  <c r="K121" i="6"/>
  <c r="I121" i="6"/>
  <c r="K120" i="6"/>
  <c r="I120" i="6"/>
  <c r="K119" i="6"/>
  <c r="I119" i="6"/>
  <c r="K118" i="6"/>
  <c r="I118" i="6"/>
  <c r="K117" i="6"/>
  <c r="I117" i="6"/>
  <c r="K116" i="6"/>
  <c r="I116" i="6"/>
  <c r="K115" i="6"/>
  <c r="I115" i="6"/>
  <c r="K114" i="6"/>
  <c r="I114" i="6"/>
  <c r="K113" i="6"/>
  <c r="I113" i="6"/>
  <c r="K112" i="6"/>
  <c r="I112" i="6"/>
  <c r="K111" i="6"/>
  <c r="I111" i="6"/>
  <c r="K110" i="6"/>
  <c r="I110" i="6"/>
  <c r="K109" i="6"/>
  <c r="I109" i="6"/>
  <c r="K108" i="6"/>
  <c r="I108" i="6"/>
  <c r="K107" i="6"/>
  <c r="I107" i="6"/>
  <c r="K106" i="6"/>
  <c r="I106" i="6"/>
  <c r="K105" i="6"/>
  <c r="I105" i="6"/>
  <c r="K104" i="6"/>
  <c r="I104" i="6"/>
  <c r="K103" i="6"/>
  <c r="I103" i="6"/>
  <c r="K102" i="6"/>
  <c r="I102" i="6"/>
  <c r="K101" i="6"/>
  <c r="I101" i="6"/>
  <c r="K100" i="6"/>
  <c r="I100" i="6"/>
  <c r="K99" i="6"/>
  <c r="I99" i="6"/>
  <c r="K98" i="6"/>
  <c r="I98" i="6"/>
  <c r="K97" i="6"/>
  <c r="I97" i="6"/>
  <c r="K96" i="6"/>
  <c r="I96" i="6"/>
  <c r="K95" i="6"/>
  <c r="I95" i="6"/>
  <c r="K94" i="6"/>
  <c r="I94" i="6"/>
  <c r="K93" i="6"/>
  <c r="I93" i="6"/>
  <c r="K92" i="6"/>
  <c r="I92" i="6"/>
  <c r="K91" i="6"/>
  <c r="I91" i="6"/>
  <c r="K90" i="6"/>
  <c r="I90" i="6"/>
  <c r="K89" i="6"/>
  <c r="I89" i="6"/>
  <c r="K88" i="6"/>
  <c r="I88" i="6"/>
  <c r="K87" i="6"/>
  <c r="I87" i="6"/>
  <c r="K86" i="6"/>
  <c r="I86" i="6"/>
  <c r="K85" i="6"/>
  <c r="I85" i="6"/>
  <c r="K84" i="6"/>
  <c r="I84" i="6"/>
  <c r="K83" i="6"/>
  <c r="I83" i="6"/>
  <c r="K82" i="6"/>
  <c r="I82" i="6"/>
  <c r="K81" i="6"/>
  <c r="I81" i="6"/>
  <c r="K80" i="6"/>
  <c r="I80" i="6"/>
  <c r="K79" i="6"/>
  <c r="I79" i="6"/>
  <c r="K78" i="6"/>
  <c r="I78" i="6"/>
  <c r="K77" i="6"/>
  <c r="I77" i="6"/>
  <c r="K76" i="6"/>
  <c r="I76" i="6"/>
  <c r="K75" i="6"/>
  <c r="I75" i="6"/>
  <c r="K74" i="6"/>
  <c r="I74" i="6"/>
  <c r="K73" i="6"/>
  <c r="I73" i="6"/>
  <c r="K72" i="6"/>
  <c r="I72" i="6"/>
  <c r="K71" i="6"/>
  <c r="I71" i="6"/>
  <c r="K70" i="6"/>
  <c r="I70" i="6"/>
  <c r="K69" i="6"/>
  <c r="I69" i="6"/>
  <c r="K68" i="6"/>
  <c r="I68" i="6"/>
  <c r="K67" i="6"/>
  <c r="I67" i="6"/>
  <c r="K66" i="6"/>
  <c r="I66" i="6"/>
  <c r="K65" i="6"/>
  <c r="I65" i="6"/>
  <c r="K64" i="6"/>
  <c r="I64" i="6"/>
  <c r="K63" i="6"/>
  <c r="I63" i="6"/>
  <c r="K62" i="6"/>
  <c r="I62" i="6"/>
  <c r="K61" i="6"/>
  <c r="I61" i="6"/>
  <c r="K60" i="6"/>
  <c r="I60" i="6"/>
  <c r="K59" i="6"/>
  <c r="I59" i="6"/>
  <c r="K58" i="6"/>
  <c r="I58" i="6"/>
  <c r="K57" i="6"/>
  <c r="I57" i="6"/>
  <c r="K56" i="6"/>
  <c r="I56" i="6"/>
  <c r="K55" i="6"/>
  <c r="I55" i="6"/>
  <c r="K54" i="6"/>
  <c r="I54" i="6"/>
  <c r="K53" i="6"/>
  <c r="I53" i="6"/>
  <c r="K52" i="6"/>
  <c r="I52" i="6"/>
  <c r="K51" i="6"/>
  <c r="I51" i="6"/>
  <c r="K50" i="6"/>
  <c r="I50" i="6"/>
  <c r="K49" i="6"/>
  <c r="I49" i="6"/>
  <c r="K48" i="6"/>
  <c r="I48" i="6"/>
  <c r="K47" i="6"/>
  <c r="I47" i="6"/>
  <c r="K46" i="6"/>
  <c r="I46" i="6"/>
  <c r="K45" i="6"/>
  <c r="I45" i="6"/>
  <c r="K44" i="6"/>
  <c r="I44" i="6"/>
  <c r="K43" i="6"/>
  <c r="I43" i="6"/>
  <c r="K42" i="6"/>
  <c r="I42" i="6"/>
  <c r="K41" i="6"/>
  <c r="I41" i="6"/>
  <c r="K40" i="6"/>
  <c r="I40" i="6"/>
  <c r="K39" i="6"/>
  <c r="I39" i="6"/>
  <c r="K38" i="6"/>
  <c r="I38" i="6"/>
  <c r="K37" i="6"/>
  <c r="I37" i="6"/>
  <c r="K36" i="6"/>
  <c r="I36" i="6"/>
  <c r="K35" i="6"/>
  <c r="I35" i="6"/>
  <c r="K34" i="6"/>
  <c r="I34" i="6"/>
  <c r="K33" i="6"/>
  <c r="I33" i="6"/>
  <c r="K32" i="6"/>
  <c r="I32" i="6"/>
  <c r="K31" i="6"/>
  <c r="I31" i="6"/>
  <c r="K30" i="6"/>
  <c r="I30" i="6"/>
  <c r="K29" i="6"/>
  <c r="I29" i="6"/>
  <c r="K28" i="6"/>
  <c r="I28" i="6"/>
  <c r="K27" i="6"/>
  <c r="I27" i="6"/>
  <c r="K26" i="6"/>
  <c r="I26" i="6"/>
  <c r="K25" i="6"/>
  <c r="I25" i="6"/>
  <c r="K24" i="6"/>
  <c r="I24" i="6"/>
  <c r="K23" i="6"/>
  <c r="I23" i="6"/>
  <c r="K22" i="6"/>
  <c r="I22" i="6"/>
  <c r="K21" i="6"/>
  <c r="I21" i="6"/>
  <c r="K20" i="6"/>
  <c r="I20" i="6"/>
  <c r="B20" i="6"/>
  <c r="K19" i="6"/>
  <c r="I19" i="6"/>
  <c r="B19" i="6"/>
  <c r="K18" i="6"/>
  <c r="I18" i="6"/>
  <c r="B18" i="6"/>
  <c r="K17" i="6"/>
  <c r="I17" i="6"/>
  <c r="N16" i="6"/>
  <c r="K16" i="6"/>
  <c r="I16" i="6"/>
  <c r="K15" i="6"/>
  <c r="I15" i="6"/>
  <c r="K14" i="6"/>
  <c r="I14" i="6"/>
  <c r="K13" i="6"/>
  <c r="I13" i="6"/>
  <c r="K12" i="6"/>
  <c r="I12" i="6"/>
  <c r="B12" i="6"/>
  <c r="R11" i="6"/>
  <c r="Q11" i="6"/>
  <c r="P11" i="6"/>
  <c r="O11" i="6"/>
  <c r="N11" i="6"/>
  <c r="K11" i="6"/>
  <c r="I11" i="6"/>
  <c r="R10" i="6"/>
  <c r="Q10" i="6"/>
  <c r="P10" i="6"/>
  <c r="O10" i="6"/>
  <c r="N10" i="6"/>
  <c r="S10" i="6" s="1"/>
  <c r="B16" i="6" s="1"/>
  <c r="K10" i="6"/>
  <c r="I10" i="6"/>
  <c r="R9" i="6"/>
  <c r="Q9" i="6"/>
  <c r="P9" i="6"/>
  <c r="O9" i="6"/>
  <c r="N9" i="6"/>
  <c r="S9" i="6" s="1"/>
  <c r="K9" i="6"/>
  <c r="I9" i="6"/>
  <c r="R8" i="6"/>
  <c r="Q8" i="6"/>
  <c r="P8" i="6"/>
  <c r="O8" i="6"/>
  <c r="N8" i="6"/>
  <c r="S8" i="6" s="1"/>
  <c r="K8" i="6"/>
  <c r="I8" i="6"/>
  <c r="R7" i="6"/>
  <c r="Q7" i="6"/>
  <c r="P7" i="6"/>
  <c r="O7" i="6"/>
  <c r="N7" i="6"/>
  <c r="B11" i="6" s="1"/>
  <c r="K7" i="6"/>
  <c r="I7" i="6"/>
  <c r="R6" i="6"/>
  <c r="Q6" i="6"/>
  <c r="P6" i="6"/>
  <c r="O6" i="6"/>
  <c r="N6" i="6"/>
  <c r="S6" i="6" s="1"/>
  <c r="K6" i="6"/>
  <c r="I6" i="6"/>
  <c r="B6" i="6"/>
  <c r="R5" i="6"/>
  <c r="Q5" i="6"/>
  <c r="P5" i="6"/>
  <c r="O5" i="6"/>
  <c r="N5" i="6"/>
  <c r="S5" i="6" s="1"/>
  <c r="K5" i="6"/>
  <c r="I5" i="6"/>
  <c r="B5" i="6"/>
  <c r="R4" i="6"/>
  <c r="Q4" i="6"/>
  <c r="P4" i="6"/>
  <c r="O4" i="6"/>
  <c r="N4" i="6"/>
  <c r="S4" i="6" s="1"/>
  <c r="K4" i="6"/>
  <c r="I4" i="6"/>
  <c r="B4" i="6"/>
  <c r="S3" i="6"/>
  <c r="R3" i="6"/>
  <c r="Q3" i="6"/>
  <c r="P3" i="6"/>
  <c r="O3" i="6"/>
  <c r="N3" i="6"/>
  <c r="K3" i="6"/>
  <c r="I3" i="6"/>
  <c r="B3" i="6"/>
  <c r="B7" i="6" s="1"/>
  <c r="R2" i="6"/>
  <c r="Q2" i="6"/>
  <c r="P2" i="6"/>
  <c r="O2" i="6"/>
  <c r="N2" i="6"/>
  <c r="S2" i="6" s="1"/>
  <c r="K2" i="6"/>
  <c r="I2" i="6"/>
  <c r="B2" i="6"/>
  <c r="AG410" i="5"/>
  <c r="AF410" i="5"/>
  <c r="AA410" i="5"/>
  <c r="Z410" i="5"/>
  <c r="Y410" i="5"/>
  <c r="X410" i="5"/>
  <c r="V410" i="5"/>
  <c r="U410" i="5"/>
  <c r="T410" i="5"/>
  <c r="S410" i="5"/>
  <c r="R410" i="5"/>
  <c r="AB409" i="5"/>
  <c r="AA409" i="5"/>
  <c r="Z409" i="5"/>
  <c r="Y409" i="5"/>
  <c r="X409" i="5"/>
  <c r="V409" i="5"/>
  <c r="U409" i="5"/>
  <c r="T409" i="5"/>
  <c r="S409" i="5"/>
  <c r="R409" i="5"/>
  <c r="AB408" i="5"/>
  <c r="AA408" i="5"/>
  <c r="Z408" i="5"/>
  <c r="Y408" i="5"/>
  <c r="X408" i="5"/>
  <c r="V408" i="5"/>
  <c r="U408" i="5"/>
  <c r="T408" i="5"/>
  <c r="S408" i="5"/>
  <c r="R408" i="5"/>
  <c r="AB407" i="5"/>
  <c r="AA407" i="5"/>
  <c r="Z407" i="5"/>
  <c r="Y407" i="5"/>
  <c r="X407" i="5"/>
  <c r="V407" i="5"/>
  <c r="U407" i="5"/>
  <c r="T407" i="5"/>
  <c r="S407" i="5"/>
  <c r="R407" i="5"/>
  <c r="AB406" i="5"/>
  <c r="AA406" i="5"/>
  <c r="Z406" i="5"/>
  <c r="Y406" i="5"/>
  <c r="X406" i="5"/>
  <c r="V406" i="5"/>
  <c r="U406" i="5"/>
  <c r="T406" i="5"/>
  <c r="S406" i="5"/>
  <c r="R406" i="5"/>
  <c r="AB405" i="5"/>
  <c r="AA405" i="5"/>
  <c r="Z405" i="5"/>
  <c r="Y405" i="5"/>
  <c r="X405" i="5"/>
  <c r="V405" i="5"/>
  <c r="U405" i="5"/>
  <c r="T405" i="5"/>
  <c r="S405" i="5"/>
  <c r="R405" i="5"/>
  <c r="AB404" i="5"/>
  <c r="AA404" i="5"/>
  <c r="Z404" i="5"/>
  <c r="Y404" i="5"/>
  <c r="X404" i="5"/>
  <c r="V404" i="5"/>
  <c r="U404" i="5"/>
  <c r="T404" i="5"/>
  <c r="S404" i="5"/>
  <c r="R404" i="5"/>
  <c r="AB403" i="5"/>
  <c r="AA403" i="5"/>
  <c r="Z403" i="5"/>
  <c r="Y403" i="5"/>
  <c r="X403" i="5"/>
  <c r="V403" i="5"/>
  <c r="U403" i="5"/>
  <c r="T403" i="5"/>
  <c r="S403" i="5"/>
  <c r="R403" i="5"/>
  <c r="AB402" i="5"/>
  <c r="AA402" i="5"/>
  <c r="Z402" i="5"/>
  <c r="Y402" i="5"/>
  <c r="X402" i="5"/>
  <c r="V402" i="5"/>
  <c r="U402" i="5"/>
  <c r="AH403" i="5" s="1"/>
  <c r="T402" i="5"/>
  <c r="S402" i="5"/>
  <c r="R402" i="5"/>
  <c r="AB401" i="5"/>
  <c r="AA401" i="5"/>
  <c r="Z401" i="5"/>
  <c r="Y401" i="5"/>
  <c r="X401" i="5"/>
  <c r="V401" i="5"/>
  <c r="AD410" i="5" s="1"/>
  <c r="U401" i="5"/>
  <c r="AF401" i="5" s="1"/>
  <c r="T401" i="5"/>
  <c r="S401" i="5"/>
  <c r="R401" i="5"/>
  <c r="AB410" i="5" s="1"/>
  <c r="K301" i="5"/>
  <c r="I301" i="5"/>
  <c r="K300" i="5"/>
  <c r="I300" i="5"/>
  <c r="K299" i="5"/>
  <c r="I299" i="5"/>
  <c r="K298" i="5"/>
  <c r="I298" i="5"/>
  <c r="K297" i="5"/>
  <c r="I297" i="5"/>
  <c r="K296" i="5"/>
  <c r="I296" i="5"/>
  <c r="K295" i="5"/>
  <c r="I295" i="5"/>
  <c r="K294" i="5"/>
  <c r="I294" i="5"/>
  <c r="K293" i="5"/>
  <c r="I293" i="5"/>
  <c r="K292" i="5"/>
  <c r="I292" i="5"/>
  <c r="K291" i="5"/>
  <c r="I291" i="5"/>
  <c r="K290" i="5"/>
  <c r="I290" i="5"/>
  <c r="K289" i="5"/>
  <c r="I289" i="5"/>
  <c r="K288" i="5"/>
  <c r="I288" i="5"/>
  <c r="K287" i="5"/>
  <c r="I287" i="5"/>
  <c r="K286" i="5"/>
  <c r="I286" i="5"/>
  <c r="K285" i="5"/>
  <c r="I285" i="5"/>
  <c r="K284" i="5"/>
  <c r="I284" i="5"/>
  <c r="K283" i="5"/>
  <c r="I283" i="5"/>
  <c r="K282" i="5"/>
  <c r="I282" i="5"/>
  <c r="K281" i="5"/>
  <c r="I281" i="5"/>
  <c r="K280" i="5"/>
  <c r="I280" i="5"/>
  <c r="K279" i="5"/>
  <c r="I279" i="5"/>
  <c r="K278" i="5"/>
  <c r="I278" i="5"/>
  <c r="K277" i="5"/>
  <c r="I277" i="5"/>
  <c r="K276" i="5"/>
  <c r="I276" i="5"/>
  <c r="K275" i="5"/>
  <c r="I275" i="5"/>
  <c r="K274" i="5"/>
  <c r="I274" i="5"/>
  <c r="K273" i="5"/>
  <c r="I273" i="5"/>
  <c r="K272" i="5"/>
  <c r="I272" i="5"/>
  <c r="K271" i="5"/>
  <c r="I271" i="5"/>
  <c r="K270" i="5"/>
  <c r="I270" i="5"/>
  <c r="K269" i="5"/>
  <c r="I269" i="5"/>
  <c r="K268" i="5"/>
  <c r="I268" i="5"/>
  <c r="K267" i="5"/>
  <c r="I267" i="5"/>
  <c r="K266" i="5"/>
  <c r="I266" i="5"/>
  <c r="K265" i="5"/>
  <c r="I265" i="5"/>
  <c r="K264" i="5"/>
  <c r="I264" i="5"/>
  <c r="K263" i="5"/>
  <c r="I263" i="5"/>
  <c r="K262" i="5"/>
  <c r="I262" i="5"/>
  <c r="K261" i="5"/>
  <c r="I261" i="5"/>
  <c r="K260" i="5"/>
  <c r="I260" i="5"/>
  <c r="K259" i="5"/>
  <c r="I259" i="5"/>
  <c r="K258" i="5"/>
  <c r="I258" i="5"/>
  <c r="K257" i="5"/>
  <c r="I257" i="5"/>
  <c r="K256" i="5"/>
  <c r="I256" i="5"/>
  <c r="K255" i="5"/>
  <c r="I255" i="5"/>
  <c r="K254" i="5"/>
  <c r="I254" i="5"/>
  <c r="K253" i="5"/>
  <c r="I253" i="5"/>
  <c r="K252" i="5"/>
  <c r="I252" i="5"/>
  <c r="K251" i="5"/>
  <c r="I251" i="5"/>
  <c r="K250" i="5"/>
  <c r="I250" i="5"/>
  <c r="K249" i="5"/>
  <c r="I249" i="5"/>
  <c r="K248" i="5"/>
  <c r="I248" i="5"/>
  <c r="K247" i="5"/>
  <c r="I247" i="5"/>
  <c r="K246" i="5"/>
  <c r="I246" i="5"/>
  <c r="K245" i="5"/>
  <c r="I245" i="5"/>
  <c r="K244" i="5"/>
  <c r="I244" i="5"/>
  <c r="K243" i="5"/>
  <c r="I243" i="5"/>
  <c r="K242" i="5"/>
  <c r="I242" i="5"/>
  <c r="K241" i="5"/>
  <c r="I241" i="5"/>
  <c r="K240" i="5"/>
  <c r="I240" i="5"/>
  <c r="K239" i="5"/>
  <c r="I239" i="5"/>
  <c r="K238" i="5"/>
  <c r="I238" i="5"/>
  <c r="K237" i="5"/>
  <c r="I237" i="5"/>
  <c r="K236" i="5"/>
  <c r="I236" i="5"/>
  <c r="K235" i="5"/>
  <c r="I235" i="5"/>
  <c r="K234" i="5"/>
  <c r="I234" i="5"/>
  <c r="K233" i="5"/>
  <c r="I233" i="5"/>
  <c r="K232" i="5"/>
  <c r="I232" i="5"/>
  <c r="K231" i="5"/>
  <c r="I231" i="5"/>
  <c r="K230" i="5"/>
  <c r="I230" i="5"/>
  <c r="K229" i="5"/>
  <c r="I229" i="5"/>
  <c r="K228" i="5"/>
  <c r="I228" i="5"/>
  <c r="K227" i="5"/>
  <c r="I227" i="5"/>
  <c r="K226" i="5"/>
  <c r="I226" i="5"/>
  <c r="K225" i="5"/>
  <c r="I225" i="5"/>
  <c r="K224" i="5"/>
  <c r="I224" i="5"/>
  <c r="K223" i="5"/>
  <c r="I223" i="5"/>
  <c r="K222" i="5"/>
  <c r="I222" i="5"/>
  <c r="K221" i="5"/>
  <c r="I221" i="5"/>
  <c r="K220" i="5"/>
  <c r="I220" i="5"/>
  <c r="K219" i="5"/>
  <c r="I219" i="5"/>
  <c r="K218" i="5"/>
  <c r="I218" i="5"/>
  <c r="K217" i="5"/>
  <c r="I217" i="5"/>
  <c r="K216" i="5"/>
  <c r="I216" i="5"/>
  <c r="K215" i="5"/>
  <c r="I215" i="5"/>
  <c r="K214" i="5"/>
  <c r="I214" i="5"/>
  <c r="K213" i="5"/>
  <c r="I213" i="5"/>
  <c r="K212" i="5"/>
  <c r="I212" i="5"/>
  <c r="K211" i="5"/>
  <c r="I211" i="5"/>
  <c r="K210" i="5"/>
  <c r="I210" i="5"/>
  <c r="K209" i="5"/>
  <c r="I209" i="5"/>
  <c r="K208" i="5"/>
  <c r="I208" i="5"/>
  <c r="K207" i="5"/>
  <c r="I207" i="5"/>
  <c r="K206" i="5"/>
  <c r="I206" i="5"/>
  <c r="K205" i="5"/>
  <c r="I205" i="5"/>
  <c r="K204" i="5"/>
  <c r="I204" i="5"/>
  <c r="K203" i="5"/>
  <c r="I203" i="5"/>
  <c r="K202" i="5"/>
  <c r="I202" i="5"/>
  <c r="K201" i="5"/>
  <c r="I201" i="5"/>
  <c r="K200" i="5"/>
  <c r="I200" i="5"/>
  <c r="K199" i="5"/>
  <c r="I199" i="5"/>
  <c r="K198" i="5"/>
  <c r="I198" i="5"/>
  <c r="K197" i="5"/>
  <c r="I197" i="5"/>
  <c r="K196" i="5"/>
  <c r="I196" i="5"/>
  <c r="K195" i="5"/>
  <c r="I195" i="5"/>
  <c r="K194" i="5"/>
  <c r="I194" i="5"/>
  <c r="K193" i="5"/>
  <c r="I193" i="5"/>
  <c r="K192" i="5"/>
  <c r="I192" i="5"/>
  <c r="K191" i="5"/>
  <c r="I191" i="5"/>
  <c r="K190" i="5"/>
  <c r="I190" i="5"/>
  <c r="K189" i="5"/>
  <c r="I189" i="5"/>
  <c r="K188" i="5"/>
  <c r="I188" i="5"/>
  <c r="K187" i="5"/>
  <c r="I187" i="5"/>
  <c r="K186" i="5"/>
  <c r="I186" i="5"/>
  <c r="K185" i="5"/>
  <c r="I185" i="5"/>
  <c r="K184" i="5"/>
  <c r="I184" i="5"/>
  <c r="K183" i="5"/>
  <c r="I183" i="5"/>
  <c r="K182" i="5"/>
  <c r="I182" i="5"/>
  <c r="K181" i="5"/>
  <c r="I181" i="5"/>
  <c r="K180" i="5"/>
  <c r="I180" i="5"/>
  <c r="K179" i="5"/>
  <c r="I179" i="5"/>
  <c r="K178" i="5"/>
  <c r="I178" i="5"/>
  <c r="K177" i="5"/>
  <c r="I177" i="5"/>
  <c r="K176" i="5"/>
  <c r="I176" i="5"/>
  <c r="K175" i="5"/>
  <c r="I175" i="5"/>
  <c r="K174" i="5"/>
  <c r="I174" i="5"/>
  <c r="K173" i="5"/>
  <c r="I173" i="5"/>
  <c r="K172" i="5"/>
  <c r="I172" i="5"/>
  <c r="K171" i="5"/>
  <c r="I171" i="5"/>
  <c r="K170" i="5"/>
  <c r="I170" i="5"/>
  <c r="K169" i="5"/>
  <c r="I169" i="5"/>
  <c r="K168" i="5"/>
  <c r="I168" i="5"/>
  <c r="K167" i="5"/>
  <c r="I167" i="5"/>
  <c r="K166" i="5"/>
  <c r="I166" i="5"/>
  <c r="K165" i="5"/>
  <c r="I165" i="5"/>
  <c r="K164" i="5"/>
  <c r="I164" i="5"/>
  <c r="K163" i="5"/>
  <c r="I163" i="5"/>
  <c r="K162" i="5"/>
  <c r="I162" i="5"/>
  <c r="K161" i="5"/>
  <c r="I161" i="5"/>
  <c r="K160" i="5"/>
  <c r="I160" i="5"/>
  <c r="K159" i="5"/>
  <c r="I159" i="5"/>
  <c r="K158" i="5"/>
  <c r="I158" i="5"/>
  <c r="K157" i="5"/>
  <c r="I157" i="5"/>
  <c r="K156" i="5"/>
  <c r="I156" i="5"/>
  <c r="K155" i="5"/>
  <c r="I155" i="5"/>
  <c r="K154" i="5"/>
  <c r="I154" i="5"/>
  <c r="K153" i="5"/>
  <c r="I153" i="5"/>
  <c r="K152" i="5"/>
  <c r="I152" i="5"/>
  <c r="K151" i="5"/>
  <c r="I151" i="5"/>
  <c r="K150" i="5"/>
  <c r="I150" i="5"/>
  <c r="K149" i="5"/>
  <c r="I149" i="5"/>
  <c r="K148" i="5"/>
  <c r="I148" i="5"/>
  <c r="K147" i="5"/>
  <c r="I147" i="5"/>
  <c r="K146" i="5"/>
  <c r="I146" i="5"/>
  <c r="K145" i="5"/>
  <c r="I145" i="5"/>
  <c r="K144" i="5"/>
  <c r="I144" i="5"/>
  <c r="K143" i="5"/>
  <c r="I143" i="5"/>
  <c r="K142" i="5"/>
  <c r="I142" i="5"/>
  <c r="K141" i="5"/>
  <c r="I141" i="5"/>
  <c r="K140" i="5"/>
  <c r="I140" i="5"/>
  <c r="K139" i="5"/>
  <c r="I139" i="5"/>
  <c r="K138" i="5"/>
  <c r="I138" i="5"/>
  <c r="K137" i="5"/>
  <c r="I137" i="5"/>
  <c r="K136" i="5"/>
  <c r="I136" i="5"/>
  <c r="K135" i="5"/>
  <c r="I135" i="5"/>
  <c r="K134" i="5"/>
  <c r="I134" i="5"/>
  <c r="K133" i="5"/>
  <c r="I133" i="5"/>
  <c r="K132" i="5"/>
  <c r="I132" i="5"/>
  <c r="K131" i="5"/>
  <c r="I131" i="5"/>
  <c r="K130" i="5"/>
  <c r="I130" i="5"/>
  <c r="K129" i="5"/>
  <c r="I129" i="5"/>
  <c r="K128" i="5"/>
  <c r="I128" i="5"/>
  <c r="K127" i="5"/>
  <c r="I127" i="5"/>
  <c r="K126" i="5"/>
  <c r="I126" i="5"/>
  <c r="K125" i="5"/>
  <c r="I125" i="5"/>
  <c r="K124" i="5"/>
  <c r="I124" i="5"/>
  <c r="K123" i="5"/>
  <c r="I123" i="5"/>
  <c r="K122" i="5"/>
  <c r="I122" i="5"/>
  <c r="K121" i="5"/>
  <c r="I121" i="5"/>
  <c r="K120" i="5"/>
  <c r="I120" i="5"/>
  <c r="K119" i="5"/>
  <c r="I119" i="5"/>
  <c r="K118" i="5"/>
  <c r="I118" i="5"/>
  <c r="K117" i="5"/>
  <c r="I117" i="5"/>
  <c r="K116" i="5"/>
  <c r="I116" i="5"/>
  <c r="K115" i="5"/>
  <c r="I115" i="5"/>
  <c r="K114" i="5"/>
  <c r="I114" i="5"/>
  <c r="K113" i="5"/>
  <c r="I113" i="5"/>
  <c r="K112" i="5"/>
  <c r="I112" i="5"/>
  <c r="K111" i="5"/>
  <c r="I111" i="5"/>
  <c r="K110" i="5"/>
  <c r="I110" i="5"/>
  <c r="K109" i="5"/>
  <c r="I109" i="5"/>
  <c r="K108" i="5"/>
  <c r="I108" i="5"/>
  <c r="K107" i="5"/>
  <c r="I107" i="5"/>
  <c r="K106" i="5"/>
  <c r="I106" i="5"/>
  <c r="K105" i="5"/>
  <c r="I105" i="5"/>
  <c r="K104" i="5"/>
  <c r="I104" i="5"/>
  <c r="K103" i="5"/>
  <c r="I103" i="5"/>
  <c r="K102" i="5"/>
  <c r="I102" i="5"/>
  <c r="K101" i="5"/>
  <c r="I101" i="5"/>
  <c r="K100" i="5"/>
  <c r="I100" i="5"/>
  <c r="K99" i="5"/>
  <c r="I99" i="5"/>
  <c r="K98" i="5"/>
  <c r="I98" i="5"/>
  <c r="K97" i="5"/>
  <c r="I97" i="5"/>
  <c r="K96" i="5"/>
  <c r="I96" i="5"/>
  <c r="K95" i="5"/>
  <c r="I95" i="5"/>
  <c r="K94" i="5"/>
  <c r="I94" i="5"/>
  <c r="K93" i="5"/>
  <c r="I93" i="5"/>
  <c r="K92" i="5"/>
  <c r="I92" i="5"/>
  <c r="K91" i="5"/>
  <c r="I91" i="5"/>
  <c r="K90" i="5"/>
  <c r="I90" i="5"/>
  <c r="K89" i="5"/>
  <c r="I89" i="5"/>
  <c r="K88" i="5"/>
  <c r="I88" i="5"/>
  <c r="K87" i="5"/>
  <c r="I87" i="5"/>
  <c r="K86" i="5"/>
  <c r="I86" i="5"/>
  <c r="K85" i="5"/>
  <c r="I85" i="5"/>
  <c r="K84" i="5"/>
  <c r="I84" i="5"/>
  <c r="K83" i="5"/>
  <c r="I83" i="5"/>
  <c r="K82" i="5"/>
  <c r="I82" i="5"/>
  <c r="K81" i="5"/>
  <c r="I81" i="5"/>
  <c r="K80" i="5"/>
  <c r="I80" i="5"/>
  <c r="K79" i="5"/>
  <c r="I79" i="5"/>
  <c r="K78" i="5"/>
  <c r="I78" i="5"/>
  <c r="K77" i="5"/>
  <c r="I77" i="5"/>
  <c r="K76" i="5"/>
  <c r="I76" i="5"/>
  <c r="K75" i="5"/>
  <c r="I75" i="5"/>
  <c r="K74" i="5"/>
  <c r="I74" i="5"/>
  <c r="K73" i="5"/>
  <c r="I73" i="5"/>
  <c r="K72" i="5"/>
  <c r="I72" i="5"/>
  <c r="K71" i="5"/>
  <c r="I71" i="5"/>
  <c r="K70" i="5"/>
  <c r="I70" i="5"/>
  <c r="K69" i="5"/>
  <c r="I69" i="5"/>
  <c r="K68" i="5"/>
  <c r="I68" i="5"/>
  <c r="K67" i="5"/>
  <c r="I67" i="5"/>
  <c r="K66" i="5"/>
  <c r="I66" i="5"/>
  <c r="K65" i="5"/>
  <c r="I65" i="5"/>
  <c r="K64" i="5"/>
  <c r="I64" i="5"/>
  <c r="K63" i="5"/>
  <c r="I63" i="5"/>
  <c r="K62" i="5"/>
  <c r="I62" i="5"/>
  <c r="K61" i="5"/>
  <c r="I61" i="5"/>
  <c r="K60" i="5"/>
  <c r="I60" i="5"/>
  <c r="K59" i="5"/>
  <c r="I59" i="5"/>
  <c r="K58" i="5"/>
  <c r="I58" i="5"/>
  <c r="K57" i="5"/>
  <c r="I57" i="5"/>
  <c r="K56" i="5"/>
  <c r="I56" i="5"/>
  <c r="K55" i="5"/>
  <c r="I55" i="5"/>
  <c r="K54" i="5"/>
  <c r="I54" i="5"/>
  <c r="K53" i="5"/>
  <c r="I53" i="5"/>
  <c r="K52" i="5"/>
  <c r="I52" i="5"/>
  <c r="K51" i="5"/>
  <c r="I51" i="5"/>
  <c r="K50" i="5"/>
  <c r="I50" i="5"/>
  <c r="K49" i="5"/>
  <c r="I49" i="5"/>
  <c r="K48" i="5"/>
  <c r="I48" i="5"/>
  <c r="K47" i="5"/>
  <c r="I47" i="5"/>
  <c r="K46" i="5"/>
  <c r="I46" i="5"/>
  <c r="K45" i="5"/>
  <c r="I45" i="5"/>
  <c r="K44" i="5"/>
  <c r="I44" i="5"/>
  <c r="K43" i="5"/>
  <c r="I43" i="5"/>
  <c r="K42" i="5"/>
  <c r="I42" i="5"/>
  <c r="K41" i="5"/>
  <c r="I41" i="5"/>
  <c r="K40" i="5"/>
  <c r="I40" i="5"/>
  <c r="K39" i="5"/>
  <c r="I39" i="5"/>
  <c r="K38" i="5"/>
  <c r="I38" i="5"/>
  <c r="K37" i="5"/>
  <c r="I37" i="5"/>
  <c r="K36" i="5"/>
  <c r="I36" i="5"/>
  <c r="K35" i="5"/>
  <c r="I35" i="5"/>
  <c r="K34" i="5"/>
  <c r="I34" i="5"/>
  <c r="K33" i="5"/>
  <c r="I33" i="5"/>
  <c r="K32" i="5"/>
  <c r="I32" i="5"/>
  <c r="K31" i="5"/>
  <c r="I31" i="5"/>
  <c r="K30" i="5"/>
  <c r="I30" i="5"/>
  <c r="K29" i="5"/>
  <c r="I29" i="5"/>
  <c r="K28" i="5"/>
  <c r="I28" i="5"/>
  <c r="K27" i="5"/>
  <c r="I27" i="5"/>
  <c r="K26" i="5"/>
  <c r="I26" i="5"/>
  <c r="K25" i="5"/>
  <c r="I25" i="5"/>
  <c r="K24" i="5"/>
  <c r="I24" i="5"/>
  <c r="K23" i="5"/>
  <c r="I23" i="5"/>
  <c r="K22" i="5"/>
  <c r="I22" i="5"/>
  <c r="K21" i="5"/>
  <c r="I21" i="5"/>
  <c r="K20" i="5"/>
  <c r="I20" i="5"/>
  <c r="B20" i="5"/>
  <c r="K19" i="5"/>
  <c r="I19" i="5"/>
  <c r="B19" i="5"/>
  <c r="K18" i="5"/>
  <c r="I18" i="5"/>
  <c r="B18" i="5"/>
  <c r="K17" i="5"/>
  <c r="I17" i="5"/>
  <c r="N16" i="5"/>
  <c r="K16" i="5"/>
  <c r="I16" i="5"/>
  <c r="K15" i="5"/>
  <c r="I15" i="5"/>
  <c r="K14" i="5"/>
  <c r="I14" i="5"/>
  <c r="K13" i="5"/>
  <c r="I13" i="5"/>
  <c r="K12" i="5"/>
  <c r="I12" i="5"/>
  <c r="B12" i="5"/>
  <c r="R11" i="5"/>
  <c r="Q11" i="5"/>
  <c r="P11" i="5"/>
  <c r="O11" i="5"/>
  <c r="N11" i="5"/>
  <c r="S11" i="5" s="1"/>
  <c r="B13" i="5" s="1"/>
  <c r="K11" i="5"/>
  <c r="I11" i="5"/>
  <c r="S10" i="5"/>
  <c r="B16" i="5" s="1"/>
  <c r="R10" i="5"/>
  <c r="Q10" i="5"/>
  <c r="P10" i="5"/>
  <c r="O10" i="5"/>
  <c r="N10" i="5"/>
  <c r="K10" i="5"/>
  <c r="I10" i="5"/>
  <c r="R9" i="5"/>
  <c r="Q9" i="5"/>
  <c r="P9" i="5"/>
  <c r="O9" i="5"/>
  <c r="N9" i="5"/>
  <c r="S9" i="5" s="1"/>
  <c r="K9" i="5"/>
  <c r="I9" i="5"/>
  <c r="S8" i="5"/>
  <c r="R8" i="5"/>
  <c r="Q8" i="5"/>
  <c r="P8" i="5"/>
  <c r="O8" i="5"/>
  <c r="N8" i="5"/>
  <c r="K8" i="5"/>
  <c r="I8" i="5"/>
  <c r="R7" i="5"/>
  <c r="Q7" i="5"/>
  <c r="P7" i="5"/>
  <c r="O7" i="5"/>
  <c r="N7" i="5"/>
  <c r="S7" i="5" s="1"/>
  <c r="B15" i="5" s="1"/>
  <c r="K7" i="5"/>
  <c r="I7" i="5"/>
  <c r="B7" i="5"/>
  <c r="R6" i="5"/>
  <c r="Q6" i="5"/>
  <c r="P6" i="5"/>
  <c r="O6" i="5"/>
  <c r="N6" i="5"/>
  <c r="S6" i="5" s="1"/>
  <c r="K6" i="5"/>
  <c r="I6" i="5"/>
  <c r="B6" i="5"/>
  <c r="R5" i="5"/>
  <c r="Q5" i="5"/>
  <c r="P5" i="5"/>
  <c r="O5" i="5"/>
  <c r="N5" i="5"/>
  <c r="S5" i="5" s="1"/>
  <c r="K5" i="5"/>
  <c r="I5" i="5"/>
  <c r="B5" i="5"/>
  <c r="R4" i="5"/>
  <c r="Q4" i="5"/>
  <c r="P4" i="5"/>
  <c r="O4" i="5"/>
  <c r="N4" i="5"/>
  <c r="S4" i="5" s="1"/>
  <c r="K4" i="5"/>
  <c r="I4" i="5"/>
  <c r="B4" i="5"/>
  <c r="S3" i="5"/>
  <c r="R3" i="5"/>
  <c r="Q3" i="5"/>
  <c r="P3" i="5"/>
  <c r="O3" i="5"/>
  <c r="N3" i="5"/>
  <c r="K3" i="5"/>
  <c r="I3" i="5"/>
  <c r="B3" i="5"/>
  <c r="R2" i="5"/>
  <c r="Q2" i="5"/>
  <c r="P2" i="5"/>
  <c r="O2" i="5"/>
  <c r="N2" i="5"/>
  <c r="S2" i="5" s="1"/>
  <c r="K2" i="5"/>
  <c r="I2" i="5"/>
  <c r="B2" i="5"/>
  <c r="AH410" i="5" l="1"/>
  <c r="B14" i="6"/>
  <c r="S11" i="6"/>
  <c r="B13" i="6" s="1"/>
  <c r="AD410" i="6"/>
  <c r="AD401" i="6"/>
  <c r="AG404" i="6"/>
  <c r="B17" i="7"/>
  <c r="AD410" i="7"/>
  <c r="AD410" i="9"/>
  <c r="AD401" i="9"/>
  <c r="AF401" i="6"/>
  <c r="B10" i="7"/>
  <c r="AH410" i="7"/>
  <c r="AH401" i="5"/>
  <c r="AB410" i="6"/>
  <c r="S11" i="7"/>
  <c r="B13" i="7" s="1"/>
  <c r="S11" i="9"/>
  <c r="B13" i="9" s="1"/>
  <c r="AD401" i="5"/>
  <c r="B17" i="6"/>
  <c r="AH401" i="6"/>
  <c r="B17" i="5"/>
  <c r="B11" i="5"/>
  <c r="AG409" i="5"/>
  <c r="S7" i="6"/>
  <c r="B15" i="6" s="1"/>
  <c r="B10" i="9"/>
  <c r="AF409" i="9"/>
  <c r="I13" i="11"/>
  <c r="B18" i="11"/>
  <c r="I15" i="11"/>
  <c r="I2" i="11"/>
  <c r="I3" i="11"/>
  <c r="K15" i="11"/>
  <c r="K13" i="11"/>
  <c r="B19" i="11"/>
  <c r="B17" i="11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19" i="9"/>
  <c r="K17" i="9"/>
  <c r="K16" i="9"/>
  <c r="K14" i="9"/>
  <c r="K12" i="9"/>
  <c r="K10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3" i="9"/>
  <c r="K5" i="9"/>
  <c r="K7" i="9"/>
  <c r="S7" i="9"/>
  <c r="B15" i="9" s="1"/>
  <c r="K8" i="9"/>
  <c r="K11" i="9"/>
  <c r="K13" i="9"/>
  <c r="K15" i="9"/>
  <c r="K18" i="9"/>
  <c r="S2" i="9"/>
  <c r="B14" i="9" s="1"/>
  <c r="K4" i="9"/>
  <c r="K6" i="9"/>
  <c r="K9" i="9"/>
  <c r="B12" i="9"/>
  <c r="S10" i="9"/>
  <c r="B16" i="9" s="1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AG402" i="9"/>
  <c r="AF403" i="9"/>
  <c r="AE404" i="9"/>
  <c r="AD405" i="9"/>
  <c r="AH405" i="9"/>
  <c r="AG406" i="9"/>
  <c r="AF407" i="9"/>
  <c r="AE408" i="9"/>
  <c r="AD409" i="9"/>
  <c r="AH409" i="9"/>
  <c r="AG409" i="9"/>
  <c r="AF401" i="9"/>
  <c r="AE402" i="9"/>
  <c r="AD403" i="9"/>
  <c r="AH403" i="9"/>
  <c r="AG404" i="9"/>
  <c r="AF405" i="9"/>
  <c r="AE406" i="9"/>
  <c r="AD407" i="9"/>
  <c r="AH407" i="9"/>
  <c r="AG408" i="9"/>
  <c r="AE410" i="9"/>
  <c r="AE401" i="9"/>
  <c r="AG401" i="9"/>
  <c r="AD402" i="9"/>
  <c r="AF402" i="9"/>
  <c r="AH402" i="9"/>
  <c r="AE403" i="9"/>
  <c r="AG403" i="9"/>
  <c r="AD404" i="9"/>
  <c r="AF404" i="9"/>
  <c r="AH404" i="9"/>
  <c r="AE405" i="9"/>
  <c r="AG405" i="9"/>
  <c r="AD406" i="9"/>
  <c r="AF406" i="9"/>
  <c r="AH406" i="9"/>
  <c r="AE407" i="9"/>
  <c r="AG407" i="9"/>
  <c r="AD408" i="9"/>
  <c r="AF408" i="9"/>
  <c r="AH408" i="9"/>
  <c r="AE409" i="9"/>
  <c r="B14" i="7"/>
  <c r="S7" i="7"/>
  <c r="B15" i="7" s="1"/>
  <c r="S10" i="7"/>
  <c r="B16" i="7" s="1"/>
  <c r="AD401" i="7"/>
  <c r="AF401" i="7"/>
  <c r="AH401" i="7"/>
  <c r="AE402" i="7"/>
  <c r="AG402" i="7"/>
  <c r="AD403" i="7"/>
  <c r="AF403" i="7"/>
  <c r="AH403" i="7"/>
  <c r="AE404" i="7"/>
  <c r="AG404" i="7"/>
  <c r="AD405" i="7"/>
  <c r="AF405" i="7"/>
  <c r="AH405" i="7"/>
  <c r="AE406" i="7"/>
  <c r="AG406" i="7"/>
  <c r="AD407" i="7"/>
  <c r="AF407" i="7"/>
  <c r="AH407" i="7"/>
  <c r="AE408" i="7"/>
  <c r="AG408" i="7"/>
  <c r="AD409" i="7"/>
  <c r="AF409" i="7"/>
  <c r="AH409" i="7"/>
  <c r="AE410" i="7"/>
  <c r="AE401" i="7"/>
  <c r="AG401" i="7"/>
  <c r="AD402" i="7"/>
  <c r="AF402" i="7"/>
  <c r="AH402" i="7"/>
  <c r="AE403" i="7"/>
  <c r="AG403" i="7"/>
  <c r="AD404" i="7"/>
  <c r="AF404" i="7"/>
  <c r="AH404" i="7"/>
  <c r="AE405" i="7"/>
  <c r="AG405" i="7"/>
  <c r="AD406" i="7"/>
  <c r="AF406" i="7"/>
  <c r="AH406" i="7"/>
  <c r="AE407" i="7"/>
  <c r="AG407" i="7"/>
  <c r="AD408" i="7"/>
  <c r="AF408" i="7"/>
  <c r="AH408" i="7"/>
  <c r="AE409" i="7"/>
  <c r="B10" i="6"/>
  <c r="AE402" i="6"/>
  <c r="AG402" i="6"/>
  <c r="AD403" i="6"/>
  <c r="AF403" i="6"/>
  <c r="AH403" i="6"/>
  <c r="AE404" i="6"/>
  <c r="AD405" i="6"/>
  <c r="AF405" i="6"/>
  <c r="AH405" i="6"/>
  <c r="AE406" i="6"/>
  <c r="AG406" i="6"/>
  <c r="AD407" i="6"/>
  <c r="AF407" i="6"/>
  <c r="AH407" i="6"/>
  <c r="AE408" i="6"/>
  <c r="AG408" i="6"/>
  <c r="AD409" i="6"/>
  <c r="AF409" i="6"/>
  <c r="AH409" i="6"/>
  <c r="AE410" i="6"/>
  <c r="B9" i="6"/>
  <c r="AE401" i="6"/>
  <c r="AG401" i="6"/>
  <c r="AD402" i="6"/>
  <c r="AF402" i="6"/>
  <c r="AH402" i="6"/>
  <c r="AE403" i="6"/>
  <c r="AG403" i="6"/>
  <c r="AD404" i="6"/>
  <c r="AF404" i="6"/>
  <c r="AH404" i="6"/>
  <c r="AE405" i="6"/>
  <c r="AG405" i="6"/>
  <c r="AD406" i="6"/>
  <c r="AF406" i="6"/>
  <c r="AH406" i="6"/>
  <c r="AE407" i="6"/>
  <c r="AG407" i="6"/>
  <c r="AD408" i="6"/>
  <c r="AF408" i="6"/>
  <c r="AH408" i="6"/>
  <c r="AE409" i="6"/>
  <c r="B14" i="5"/>
  <c r="B10" i="5"/>
  <c r="AE402" i="5"/>
  <c r="AG402" i="5"/>
  <c r="AD403" i="5"/>
  <c r="AF403" i="5"/>
  <c r="AE404" i="5"/>
  <c r="AG404" i="5"/>
  <c r="AD405" i="5"/>
  <c r="AF405" i="5"/>
  <c r="AH405" i="5"/>
  <c r="AE406" i="5"/>
  <c r="AG406" i="5"/>
  <c r="AD407" i="5"/>
  <c r="AF407" i="5"/>
  <c r="AH407" i="5"/>
  <c r="AE408" i="5"/>
  <c r="AG408" i="5"/>
  <c r="AD409" i="5"/>
  <c r="AF409" i="5"/>
  <c r="AH409" i="5"/>
  <c r="AE410" i="5"/>
  <c r="B9" i="5"/>
  <c r="AE401" i="5"/>
  <c r="AG401" i="5"/>
  <c r="AD402" i="5"/>
  <c r="AF402" i="5"/>
  <c r="AH402" i="5"/>
  <c r="AE403" i="5"/>
  <c r="AG403" i="5"/>
  <c r="AD404" i="5"/>
  <c r="AF404" i="5"/>
  <c r="AH404" i="5"/>
  <c r="AE405" i="5"/>
  <c r="AG405" i="5"/>
  <c r="AD406" i="5"/>
  <c r="AF406" i="5"/>
  <c r="AH406" i="5"/>
  <c r="AE407" i="5"/>
  <c r="AG407" i="5"/>
  <c r="AD408" i="5"/>
  <c r="AF408" i="5"/>
  <c r="AH408" i="5"/>
  <c r="AE409" i="5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2" i="4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2" i="2"/>
  <c r="AG410" i="4"/>
  <c r="AF410" i="4"/>
  <c r="AA410" i="4"/>
  <c r="Z410" i="4"/>
  <c r="Y410" i="4"/>
  <c r="X410" i="4"/>
  <c r="V410" i="4"/>
  <c r="U410" i="4"/>
  <c r="T410" i="4"/>
  <c r="S410" i="4"/>
  <c r="R410" i="4"/>
  <c r="AB409" i="4"/>
  <c r="AA409" i="4"/>
  <c r="Z409" i="4"/>
  <c r="Y409" i="4"/>
  <c r="X409" i="4"/>
  <c r="V409" i="4"/>
  <c r="U409" i="4"/>
  <c r="T409" i="4"/>
  <c r="S409" i="4"/>
  <c r="R409" i="4"/>
  <c r="AB408" i="4"/>
  <c r="AA408" i="4"/>
  <c r="Z408" i="4"/>
  <c r="Y408" i="4"/>
  <c r="X408" i="4"/>
  <c r="V408" i="4"/>
  <c r="U408" i="4"/>
  <c r="T408" i="4"/>
  <c r="S408" i="4"/>
  <c r="R408" i="4"/>
  <c r="AB407" i="4"/>
  <c r="AA407" i="4"/>
  <c r="Z407" i="4"/>
  <c r="Y407" i="4"/>
  <c r="X407" i="4"/>
  <c r="V407" i="4"/>
  <c r="U407" i="4"/>
  <c r="T407" i="4"/>
  <c r="S407" i="4"/>
  <c r="R407" i="4"/>
  <c r="AB406" i="4"/>
  <c r="AA406" i="4"/>
  <c r="Z406" i="4"/>
  <c r="Y406" i="4"/>
  <c r="X406" i="4"/>
  <c r="V406" i="4"/>
  <c r="U406" i="4"/>
  <c r="T406" i="4"/>
  <c r="S406" i="4"/>
  <c r="R406" i="4"/>
  <c r="AB405" i="4"/>
  <c r="AA405" i="4"/>
  <c r="Z405" i="4"/>
  <c r="Y405" i="4"/>
  <c r="X405" i="4"/>
  <c r="V405" i="4"/>
  <c r="U405" i="4"/>
  <c r="T405" i="4"/>
  <c r="S405" i="4"/>
  <c r="R405" i="4"/>
  <c r="AB404" i="4"/>
  <c r="AA404" i="4"/>
  <c r="Z404" i="4"/>
  <c r="Y404" i="4"/>
  <c r="X404" i="4"/>
  <c r="V404" i="4"/>
  <c r="U404" i="4"/>
  <c r="T404" i="4"/>
  <c r="S404" i="4"/>
  <c r="R404" i="4"/>
  <c r="AB403" i="4"/>
  <c r="AA403" i="4"/>
  <c r="Z403" i="4"/>
  <c r="Y403" i="4"/>
  <c r="X403" i="4"/>
  <c r="V403" i="4"/>
  <c r="U403" i="4"/>
  <c r="T403" i="4"/>
  <c r="S403" i="4"/>
  <c r="R403" i="4"/>
  <c r="AB402" i="4"/>
  <c r="AA402" i="4"/>
  <c r="Z402" i="4"/>
  <c r="Y402" i="4"/>
  <c r="X402" i="4"/>
  <c r="V402" i="4"/>
  <c r="U402" i="4"/>
  <c r="AG402" i="4" s="1"/>
  <c r="T402" i="4"/>
  <c r="S402" i="4"/>
  <c r="R402" i="4"/>
  <c r="AB401" i="4"/>
  <c r="AA401" i="4"/>
  <c r="Z401" i="4"/>
  <c r="Y401" i="4"/>
  <c r="X401" i="4"/>
  <c r="V401" i="4"/>
  <c r="AD410" i="4" s="1"/>
  <c r="U401" i="4"/>
  <c r="T401" i="4"/>
  <c r="S401" i="4"/>
  <c r="R401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P10" i="4" s="1"/>
  <c r="I25" i="4"/>
  <c r="I24" i="4"/>
  <c r="I23" i="4"/>
  <c r="Q9" i="4" s="1"/>
  <c r="I22" i="4"/>
  <c r="I21" i="4"/>
  <c r="I20" i="4"/>
  <c r="P8" i="4" s="1"/>
  <c r="I19" i="4"/>
  <c r="I18" i="4"/>
  <c r="P7" i="4" s="1"/>
  <c r="I17" i="4"/>
  <c r="N16" i="4"/>
  <c r="I16" i="4"/>
  <c r="I15" i="4"/>
  <c r="Q6" i="4" s="1"/>
  <c r="I14" i="4"/>
  <c r="I13" i="4"/>
  <c r="I12" i="4"/>
  <c r="R11" i="4"/>
  <c r="O11" i="4"/>
  <c r="N11" i="4"/>
  <c r="I11" i="4"/>
  <c r="P5" i="4" s="1"/>
  <c r="R10" i="4"/>
  <c r="Q10" i="4"/>
  <c r="O10" i="4"/>
  <c r="N10" i="4"/>
  <c r="S10" i="4" s="1"/>
  <c r="B16" i="4" s="1"/>
  <c r="I10" i="4"/>
  <c r="R9" i="4"/>
  <c r="P9" i="4"/>
  <c r="O9" i="4"/>
  <c r="N9" i="4"/>
  <c r="S9" i="4" s="1"/>
  <c r="I9" i="4"/>
  <c r="Q4" i="4" s="1"/>
  <c r="R8" i="4"/>
  <c r="Q8" i="4"/>
  <c r="O8" i="4"/>
  <c r="N8" i="4"/>
  <c r="S8" i="4" s="1"/>
  <c r="I8" i="4"/>
  <c r="R7" i="4"/>
  <c r="Q7" i="4"/>
  <c r="O7" i="4"/>
  <c r="N7" i="4"/>
  <c r="I7" i="4"/>
  <c r="R6" i="4"/>
  <c r="P6" i="4"/>
  <c r="O6" i="4"/>
  <c r="N6" i="4"/>
  <c r="S6" i="4" s="1"/>
  <c r="I6" i="4"/>
  <c r="P3" i="4" s="1"/>
  <c r="B6" i="4"/>
  <c r="R5" i="4"/>
  <c r="Q5" i="4"/>
  <c r="O5" i="4"/>
  <c r="N5" i="4"/>
  <c r="S5" i="4" s="1"/>
  <c r="I5" i="4"/>
  <c r="B5" i="4"/>
  <c r="R4" i="4"/>
  <c r="P4" i="4"/>
  <c r="O4" i="4"/>
  <c r="N4" i="4"/>
  <c r="S4" i="4" s="1"/>
  <c r="I4" i="4"/>
  <c r="B4" i="4"/>
  <c r="R3" i="4"/>
  <c r="Q3" i="4"/>
  <c r="O3" i="4"/>
  <c r="N3" i="4"/>
  <c r="S3" i="4" s="1"/>
  <c r="I3" i="4"/>
  <c r="B3" i="4"/>
  <c r="B7" i="4" s="1"/>
  <c r="R2" i="4"/>
  <c r="O2" i="4"/>
  <c r="N2" i="4"/>
  <c r="I2" i="4"/>
  <c r="Q11" i="4" s="1"/>
  <c r="S2" i="4" l="1"/>
  <c r="B14" i="4" s="1"/>
  <c r="AH410" i="4"/>
  <c r="AB410" i="4"/>
  <c r="AH401" i="4"/>
  <c r="AF401" i="4"/>
  <c r="AD401" i="4"/>
  <c r="B12" i="4"/>
  <c r="B11" i="4"/>
  <c r="AG409" i="4"/>
  <c r="I4" i="11"/>
  <c r="O15" i="11"/>
  <c r="O11" i="11"/>
  <c r="O13" i="11"/>
  <c r="B17" i="9"/>
  <c r="S11" i="4"/>
  <c r="B13" i="4" s="1"/>
  <c r="S7" i="4"/>
  <c r="B15" i="4" s="1"/>
  <c r="B17" i="2"/>
  <c r="B10" i="4"/>
  <c r="P11" i="4"/>
  <c r="AE402" i="4"/>
  <c r="AD403" i="4"/>
  <c r="AF403" i="4"/>
  <c r="AH403" i="4"/>
  <c r="AE404" i="4"/>
  <c r="AG404" i="4"/>
  <c r="AD405" i="4"/>
  <c r="AF405" i="4"/>
  <c r="AH405" i="4"/>
  <c r="AE406" i="4"/>
  <c r="AG406" i="4"/>
  <c r="AD407" i="4"/>
  <c r="AF407" i="4"/>
  <c r="AH407" i="4"/>
  <c r="AE408" i="4"/>
  <c r="AG408" i="4"/>
  <c r="AD409" i="4"/>
  <c r="AF409" i="4"/>
  <c r="AH409" i="4"/>
  <c r="AE410" i="4"/>
  <c r="P2" i="4"/>
  <c r="G2" i="1" s="1"/>
  <c r="Q2" i="4"/>
  <c r="H2" i="1" s="1"/>
  <c r="B9" i="4"/>
  <c r="AE401" i="4"/>
  <c r="AG401" i="4"/>
  <c r="AD402" i="4"/>
  <c r="AF402" i="4"/>
  <c r="AH402" i="4"/>
  <c r="AE403" i="4"/>
  <c r="AG403" i="4"/>
  <c r="AD404" i="4"/>
  <c r="AF404" i="4"/>
  <c r="AH404" i="4"/>
  <c r="AE405" i="4"/>
  <c r="AG405" i="4"/>
  <c r="AD406" i="4"/>
  <c r="AF406" i="4"/>
  <c r="AH406" i="4"/>
  <c r="AE407" i="4"/>
  <c r="AG407" i="4"/>
  <c r="AD408" i="4"/>
  <c r="AF408" i="4"/>
  <c r="AH408" i="4"/>
  <c r="AE409" i="4"/>
  <c r="H11" i="1"/>
  <c r="F11" i="1"/>
  <c r="I10" i="1"/>
  <c r="H10" i="1"/>
  <c r="G10" i="1"/>
  <c r="F10" i="1"/>
  <c r="I9" i="1"/>
  <c r="H9" i="1"/>
  <c r="G9" i="1"/>
  <c r="F9" i="1"/>
  <c r="I8" i="1"/>
  <c r="H8" i="1"/>
  <c r="G8" i="1"/>
  <c r="F8" i="1"/>
  <c r="I7" i="1"/>
  <c r="H7" i="1"/>
  <c r="G7" i="1"/>
  <c r="F7" i="1"/>
  <c r="I6" i="1"/>
  <c r="H6" i="1"/>
  <c r="G6" i="1"/>
  <c r="F6" i="1"/>
  <c r="I5" i="1"/>
  <c r="H5" i="1"/>
  <c r="G5" i="1"/>
  <c r="F5" i="1"/>
  <c r="I4" i="1"/>
  <c r="H4" i="1"/>
  <c r="G4" i="1"/>
  <c r="F4" i="1"/>
  <c r="H3" i="1"/>
  <c r="F3" i="1"/>
  <c r="I2" i="1"/>
  <c r="F2" i="1"/>
  <c r="AG410" i="2"/>
  <c r="AF410" i="2"/>
  <c r="V410" i="2"/>
  <c r="U410" i="2"/>
  <c r="T410" i="2"/>
  <c r="S410" i="2"/>
  <c r="R410" i="2"/>
  <c r="V409" i="2"/>
  <c r="U409" i="2"/>
  <c r="T409" i="2"/>
  <c r="S409" i="2"/>
  <c r="R409" i="2"/>
  <c r="V408" i="2"/>
  <c r="U408" i="2"/>
  <c r="T408" i="2"/>
  <c r="S408" i="2"/>
  <c r="R408" i="2"/>
  <c r="V407" i="2"/>
  <c r="U407" i="2"/>
  <c r="T407" i="2"/>
  <c r="S407" i="2"/>
  <c r="R407" i="2"/>
  <c r="V406" i="2"/>
  <c r="AD410" i="2" s="1"/>
  <c r="U406" i="2"/>
  <c r="T406" i="2"/>
  <c r="S406" i="2"/>
  <c r="R406" i="2"/>
  <c r="V405" i="2"/>
  <c r="U405" i="2"/>
  <c r="AH408" i="2" s="1"/>
  <c r="T405" i="2"/>
  <c r="S405" i="2"/>
  <c r="R405" i="2"/>
  <c r="V404" i="2"/>
  <c r="U404" i="2"/>
  <c r="T404" i="2"/>
  <c r="S404" i="2"/>
  <c r="R404" i="2"/>
  <c r="V403" i="2"/>
  <c r="U403" i="2"/>
  <c r="T403" i="2"/>
  <c r="S403" i="2"/>
  <c r="R403" i="2"/>
  <c r="V402" i="2"/>
  <c r="U402" i="2"/>
  <c r="T402" i="2"/>
  <c r="S402" i="2"/>
  <c r="R402" i="2"/>
  <c r="V401" i="2"/>
  <c r="AE410" i="2" s="1"/>
  <c r="U401" i="2"/>
  <c r="AH409" i="2" s="1"/>
  <c r="T401" i="2"/>
  <c r="S401" i="2"/>
  <c r="R401" i="2"/>
  <c r="B2" i="2"/>
  <c r="AA410" i="2"/>
  <c r="Z410" i="2"/>
  <c r="Y410" i="2"/>
  <c r="X410" i="2"/>
  <c r="AB409" i="2"/>
  <c r="AA409" i="2"/>
  <c r="Z409" i="2"/>
  <c r="Y409" i="2"/>
  <c r="X409" i="2"/>
  <c r="AB408" i="2"/>
  <c r="AA408" i="2"/>
  <c r="Z408" i="2"/>
  <c r="Y408" i="2"/>
  <c r="X408" i="2"/>
  <c r="AB407" i="2"/>
  <c r="AA407" i="2"/>
  <c r="Z407" i="2"/>
  <c r="Y407" i="2"/>
  <c r="X407" i="2"/>
  <c r="AB406" i="2"/>
  <c r="AA406" i="2"/>
  <c r="Z406" i="2"/>
  <c r="Y406" i="2"/>
  <c r="X406" i="2"/>
  <c r="AB405" i="2"/>
  <c r="AA405" i="2"/>
  <c r="Z405" i="2"/>
  <c r="Y405" i="2"/>
  <c r="X405" i="2"/>
  <c r="AB404" i="2"/>
  <c r="AA404" i="2"/>
  <c r="Z404" i="2"/>
  <c r="Y404" i="2"/>
  <c r="X404" i="2"/>
  <c r="AB403" i="2"/>
  <c r="AA403" i="2"/>
  <c r="Z403" i="2"/>
  <c r="Y403" i="2"/>
  <c r="X403" i="2"/>
  <c r="AB402" i="2"/>
  <c r="AA402" i="2"/>
  <c r="Z402" i="2"/>
  <c r="Y402" i="2"/>
  <c r="X402" i="2"/>
  <c r="AB401" i="2"/>
  <c r="AA401" i="2"/>
  <c r="Z401" i="2"/>
  <c r="Y401" i="2"/>
  <c r="X401" i="2"/>
  <c r="AH410" i="2" s="1"/>
  <c r="AD404" i="2" l="1"/>
  <c r="AG407" i="2"/>
  <c r="AB410" i="2"/>
  <c r="AH401" i="2"/>
  <c r="AD403" i="2"/>
  <c r="AE404" i="2"/>
  <c r="AF405" i="2"/>
  <c r="AG406" i="2"/>
  <c r="AH407" i="2"/>
  <c r="AD409" i="2"/>
  <c r="AD402" i="2"/>
  <c r="AE403" i="2"/>
  <c r="AF404" i="2"/>
  <c r="AG405" i="2"/>
  <c r="AH406" i="2"/>
  <c r="AD408" i="2"/>
  <c r="AE409" i="2"/>
  <c r="AG401" i="2"/>
  <c r="AD401" i="2"/>
  <c r="AE402" i="2"/>
  <c r="AF403" i="2"/>
  <c r="AG404" i="2"/>
  <c r="AH405" i="2"/>
  <c r="AD407" i="2"/>
  <c r="AE408" i="2"/>
  <c r="AF409" i="2"/>
  <c r="AE405" i="2"/>
  <c r="AE401" i="2"/>
  <c r="AF402" i="2"/>
  <c r="AG403" i="2"/>
  <c r="AH404" i="2"/>
  <c r="AD406" i="2"/>
  <c r="AE407" i="2"/>
  <c r="AF408" i="2"/>
  <c r="AG409" i="2"/>
  <c r="AH402" i="2"/>
  <c r="AF406" i="2"/>
  <c r="AF401" i="2"/>
  <c r="AG402" i="2"/>
  <c r="AH403" i="2"/>
  <c r="AD405" i="2"/>
  <c r="AE406" i="2"/>
  <c r="AF407" i="2"/>
  <c r="AG408" i="2"/>
  <c r="L4" i="11"/>
  <c r="B2" i="4"/>
  <c r="B18" i="2"/>
  <c r="B20" i="2"/>
  <c r="B19" i="2"/>
  <c r="B20" i="4" l="1"/>
  <c r="B18" i="4"/>
  <c r="B17" i="4"/>
  <c r="B19" i="4"/>
  <c r="N11" i="2"/>
  <c r="B6" i="2"/>
  <c r="B5" i="2"/>
  <c r="B4" i="2"/>
  <c r="E11" i="1" l="1"/>
  <c r="B12" i="1" s="1"/>
  <c r="B5" i="1"/>
  <c r="B9" i="1"/>
  <c r="B8" i="1"/>
  <c r="B4" i="1"/>
  <c r="B10" i="1"/>
  <c r="B6" i="1"/>
  <c r="N6" i="2"/>
  <c r="I5" i="2"/>
  <c r="I6" i="2"/>
  <c r="I7" i="2"/>
  <c r="I8" i="2"/>
  <c r="I9" i="2"/>
  <c r="N10" i="2"/>
  <c r="B3" i="2"/>
  <c r="B7" i="2" l="1"/>
  <c r="B11" i="1" s="1"/>
  <c r="B3" i="1"/>
  <c r="B7" i="1"/>
  <c r="B2" i="1"/>
  <c r="E10" i="1"/>
  <c r="B15" i="1" s="1"/>
  <c r="J10" i="1"/>
  <c r="B23" i="1" s="1"/>
  <c r="E6" i="1"/>
  <c r="J6" i="1"/>
  <c r="B12" i="2"/>
  <c r="B19" i="1" s="1"/>
  <c r="I3" i="2"/>
  <c r="I4" i="2"/>
  <c r="I10" i="2"/>
  <c r="I11" i="2"/>
  <c r="I12" i="2"/>
  <c r="G3" i="1" l="1"/>
  <c r="I3" i="1"/>
  <c r="I11" i="1"/>
  <c r="G11" i="1"/>
  <c r="N9" i="2"/>
  <c r="N8" i="2"/>
  <c r="N7" i="2"/>
  <c r="N5" i="2"/>
  <c r="N4" i="2"/>
  <c r="N3" i="2"/>
  <c r="N2" i="2"/>
  <c r="E3" i="1" l="1"/>
  <c r="J3" i="1"/>
  <c r="E5" i="1"/>
  <c r="J5" i="1"/>
  <c r="E8" i="1"/>
  <c r="J8" i="1"/>
  <c r="E2" i="1"/>
  <c r="E4" i="1"/>
  <c r="J4" i="1"/>
  <c r="E7" i="1"/>
  <c r="E9" i="1"/>
  <c r="J9" i="1"/>
  <c r="B10" i="2"/>
  <c r="B17" i="1" s="1"/>
  <c r="B11" i="2"/>
  <c r="B18" i="1" s="1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J7" i="1" l="1"/>
  <c r="B22" i="1" s="1"/>
  <c r="B15" i="2"/>
  <c r="J2" i="1"/>
  <c r="B21" i="1" s="1"/>
  <c r="B14" i="2"/>
  <c r="J11" i="1"/>
  <c r="B20" i="1" s="1"/>
  <c r="B14" i="1"/>
  <c r="B13" i="1"/>
  <c r="B9" i="2"/>
  <c r="B16" i="1" s="1"/>
  <c r="B16" i="2" l="1"/>
  <c r="B13" i="2"/>
</calcChain>
</file>

<file path=xl/sharedStrings.xml><?xml version="1.0" encoding="utf-8"?>
<sst xmlns="http://schemas.openxmlformats.org/spreadsheetml/2006/main" count="410" uniqueCount="142">
  <si>
    <t>Efectividad Absoluta</t>
  </si>
  <si>
    <t>Capital Inicial</t>
  </si>
  <si>
    <t>Capital Acumulado</t>
  </si>
  <si>
    <t>Cantidad</t>
  </si>
  <si>
    <t>100x</t>
  </si>
  <si>
    <t>Estrategia</t>
  </si>
  <si>
    <t>Total</t>
  </si>
  <si>
    <t>Long</t>
  </si>
  <si>
    <t xml:space="preserve"> Short</t>
  </si>
  <si>
    <t>Posición</t>
  </si>
  <si>
    <t>Efectividad Total</t>
  </si>
  <si>
    <t>Resultado</t>
  </si>
  <si>
    <t>Cantidad de Trades</t>
  </si>
  <si>
    <t>Día</t>
  </si>
  <si>
    <t>USD</t>
  </si>
  <si>
    <t>Trade #</t>
  </si>
  <si>
    <t>Ida</t>
  </si>
  <si>
    <t>Vuelta</t>
  </si>
  <si>
    <t>WolfiBot</t>
  </si>
  <si>
    <t>BatiBot</t>
  </si>
  <si>
    <t xml:space="preserve">Volatilidad del Mes </t>
  </si>
  <si>
    <t>Sentido</t>
  </si>
  <si>
    <t>50x</t>
  </si>
  <si>
    <t>25x</t>
  </si>
  <si>
    <t>10x</t>
  </si>
  <si>
    <t>CondorBot</t>
  </si>
  <si>
    <t>Macro: Contar Break Even</t>
  </si>
  <si>
    <t>Macro: Descontar Break Even</t>
  </si>
  <si>
    <t>Macro: Ignorar Break Even</t>
  </si>
  <si>
    <t>Efectividad Personal</t>
  </si>
  <si>
    <t>Efectividad Bots</t>
  </si>
  <si>
    <t>Cantidad de Trades Personal</t>
  </si>
  <si>
    <t>Cantidad de Trades Bots</t>
  </si>
  <si>
    <t>5x</t>
  </si>
  <si>
    <t>Otras</t>
  </si>
  <si>
    <t>Efectividad Otras</t>
  </si>
  <si>
    <t>Cantidad de Trades Otras</t>
  </si>
  <si>
    <t xml:space="preserve">Cantidad </t>
  </si>
  <si>
    <t>Convertidor USD/Crypto</t>
  </si>
  <si>
    <t>Ratio USD/Crypto</t>
  </si>
  <si>
    <t>Resultado por Dia</t>
  </si>
  <si>
    <t>Resultado del Mes (Otras)</t>
  </si>
  <si>
    <t>Resultado del Mes (Bots)</t>
  </si>
  <si>
    <t>Resultado del Mes (Personal)</t>
  </si>
  <si>
    <t>%</t>
  </si>
  <si>
    <t xml:space="preserve">Resultado Del Mes </t>
  </si>
  <si>
    <t>% Resultado del Mes</t>
  </si>
  <si>
    <t>% Resultado del Mes (Personal)</t>
  </si>
  <si>
    <t>% Resultado del Mes (Bots)</t>
  </si>
  <si>
    <t>% Resultado del Mes (Otras)</t>
  </si>
  <si>
    <t>Limit Fee</t>
  </si>
  <si>
    <t>Market Fee</t>
  </si>
  <si>
    <t>STOP LOSS</t>
  </si>
  <si>
    <t>TAKE PROFIT</t>
  </si>
  <si>
    <t>SL Limit              (SL Original)</t>
  </si>
  <si>
    <t>Limit/Maker Fee</t>
  </si>
  <si>
    <t>Market/Taker Fee</t>
  </si>
  <si>
    <t>Funding Fee</t>
  </si>
  <si>
    <t>RRR Total</t>
  </si>
  <si>
    <t>Initial Margin</t>
  </si>
  <si>
    <t>Maintenance Margin.</t>
  </si>
  <si>
    <t>Equity (USD/BTC)</t>
  </si>
  <si>
    <t>Contracts</t>
  </si>
  <si>
    <t>Leverage (X)</t>
  </si>
  <si>
    <t>Entry 1</t>
  </si>
  <si>
    <t>Entry 2</t>
  </si>
  <si>
    <t>Entry 3</t>
  </si>
  <si>
    <t>Entry 4</t>
  </si>
  <si>
    <t>Take Profit (TP)</t>
  </si>
  <si>
    <t>Stop Loss (SL)</t>
  </si>
  <si>
    <t>Avg. Entry</t>
  </si>
  <si>
    <t>Break Even (Market)</t>
  </si>
  <si>
    <t>Break Even (Limit)</t>
  </si>
  <si>
    <t xml:space="preserve">Positive Ratio % </t>
  </si>
  <si>
    <t xml:space="preserve">Negative Ratio % </t>
  </si>
  <si>
    <t>Total to be Earned</t>
  </si>
  <si>
    <t>Total to be Lost</t>
  </si>
  <si>
    <t>RRR (Partial)</t>
  </si>
  <si>
    <t>Contracts 1</t>
  </si>
  <si>
    <t>Contracts 2</t>
  </si>
  <si>
    <t>Contracts 3</t>
  </si>
  <si>
    <t>Contracts 4</t>
  </si>
  <si>
    <t>Total Contracts</t>
  </si>
  <si>
    <t>SL Market               (SL Absolute)</t>
  </si>
  <si>
    <t>Reduction of TP (-75%)</t>
  </si>
  <si>
    <t xml:space="preserve">Definitive TP </t>
  </si>
  <si>
    <t>Partial TP (+75%)</t>
  </si>
  <si>
    <t>Partial TP (+50%)</t>
  </si>
  <si>
    <t xml:space="preserve">Contracts in Definitive TP </t>
  </si>
  <si>
    <t>Contracts in Part. TP (+75%)</t>
  </si>
  <si>
    <t>Contracts in Part. TP (+50%)</t>
  </si>
  <si>
    <t>Possible Profit 3</t>
  </si>
  <si>
    <t>Possible Profit 2</t>
  </si>
  <si>
    <t>Possible Profit 1</t>
  </si>
  <si>
    <t xml:space="preserve">Fill B1:B5, B9:16 , M11:M15  </t>
  </si>
  <si>
    <t>ENTRIES</t>
  </si>
  <si>
    <t>OPERATIONAL STATISTICS</t>
  </si>
  <si>
    <t>The operational statistics are not 100% accurated, depends on the limit fee, market fee and also depends if the fees are positive or negative (Exchange)</t>
  </si>
  <si>
    <t>Initial Equity</t>
  </si>
  <si>
    <t>Current Equity</t>
  </si>
  <si>
    <t>Monthly Average (Personal)</t>
  </si>
  <si>
    <t>Monthly Average (Bots)</t>
  </si>
  <si>
    <t>Monthly Average (Others)</t>
  </si>
  <si>
    <t>Daily Average</t>
  </si>
  <si>
    <t>Number of Trades</t>
  </si>
  <si>
    <t>Number of Trades (Personal)</t>
  </si>
  <si>
    <t>Number of Trades (Bots)</t>
  </si>
  <si>
    <t>Number of Trades (Others)</t>
  </si>
  <si>
    <t>Total Trades Monthly Average</t>
  </si>
  <si>
    <t>Total Monthly Average</t>
  </si>
  <si>
    <t>Trades Monthly Average (Personal)</t>
  </si>
  <si>
    <t>Trades Monthly Average (Bots)</t>
  </si>
  <si>
    <t>Trades Monthly Average (Otras)</t>
  </si>
  <si>
    <t>Total Effectiveness</t>
  </si>
  <si>
    <t>Effectiveness (Personal)</t>
  </si>
  <si>
    <t>Effectiveness (Bots)</t>
  </si>
  <si>
    <t>Effectiveness (Others)</t>
  </si>
  <si>
    <t>Strategy</t>
  </si>
  <si>
    <t>Quantity</t>
  </si>
  <si>
    <t>Absolute Effectiveness</t>
  </si>
  <si>
    <t>Reject</t>
  </si>
  <si>
    <t>Same Way</t>
  </si>
  <si>
    <t>Do not take this page as reference for the first month, see next month spreadsheet</t>
  </si>
  <si>
    <t>Add/Link the ending month spreadsheet to these formulas</t>
  </si>
  <si>
    <t>Day</t>
  </si>
  <si>
    <t>Direction</t>
  </si>
  <si>
    <t>Position</t>
  </si>
  <si>
    <t>Result</t>
  </si>
  <si>
    <t>Monthly Results</t>
  </si>
  <si>
    <t>Monthly Results (Personal)</t>
  </si>
  <si>
    <t>Monthly Results (Bots)</t>
  </si>
  <si>
    <t>Monthly Results (Others)</t>
  </si>
  <si>
    <t>Daily Result</t>
  </si>
  <si>
    <t xml:space="preserve">Monthly Volatility </t>
  </si>
  <si>
    <t>Monthly Result %</t>
  </si>
  <si>
    <t>Monthly Result % (Personal)</t>
  </si>
  <si>
    <t>Monthly Result % (Bots)</t>
  </si>
  <si>
    <t>Monthly Result % (Others)</t>
  </si>
  <si>
    <t>USD/Crypto Converter</t>
  </si>
  <si>
    <t>Quantity to Convert</t>
  </si>
  <si>
    <t xml:space="preserve">Vuelta = Reject </t>
  </si>
  <si>
    <t xml:space="preserve">Ida = Same Way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</si>
</sst>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$-540A]#,##0.0"/>
    <numFmt numFmtId="165" formatCode="[$$-540A]#,##0"/>
    <numFmt numFmtId="166" formatCode="[$$-540A]#,##0_ ;\-[$$-540A]#,##0\ "/>
    <numFmt numFmtId="167" formatCode="0.000%"/>
    <numFmt numFmtId="168" formatCode="[$$-540A]#,##0.00"/>
  </numFmts>
  <fonts count="1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99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9" fontId="2" fillId="2" borderId="1" xfId="0" applyNumberFormat="1" applyFont="1" applyFill="1" applyBorder="1" applyAlignment="1">
      <alignment horizontal="center" vertical="center"/>
    </xf>
    <xf numFmtId="10" fontId="2" fillId="2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" fontId="2" fillId="10" borderId="1" xfId="0" applyNumberFormat="1" applyFont="1" applyFill="1" applyBorder="1" applyAlignment="1">
      <alignment horizontal="center" vertical="center"/>
    </xf>
    <xf numFmtId="165" fontId="2" fillId="1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0" fillId="0" borderId="1" xfId="0" applyBorder="1"/>
    <xf numFmtId="0" fontId="4" fillId="6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9" fontId="2" fillId="3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9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2" fillId="0" borderId="1" xfId="0" applyFont="1" applyBorder="1"/>
    <xf numFmtId="0" fontId="1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67" fontId="2" fillId="10" borderId="1" xfId="0" applyNumberFormat="1" applyFont="1" applyFill="1" applyBorder="1" applyAlignment="1">
      <alignment horizontal="center" vertical="center"/>
    </xf>
    <xf numFmtId="2" fontId="2" fillId="10" borderId="1" xfId="0" applyNumberFormat="1" applyFont="1" applyFill="1" applyBorder="1" applyAlignment="1">
      <alignment horizontal="center" vertical="center"/>
    </xf>
    <xf numFmtId="167" fontId="2" fillId="6" borderId="1" xfId="0" applyNumberFormat="1" applyFont="1" applyFill="1" applyBorder="1" applyAlignment="1">
      <alignment horizontal="center" vertical="center"/>
    </xf>
    <xf numFmtId="168" fontId="2" fillId="6" borderId="1" xfId="0" applyNumberFormat="1" applyFont="1" applyFill="1" applyBorder="1" applyAlignment="1">
      <alignment horizontal="center" vertical="center"/>
    </xf>
    <xf numFmtId="0" fontId="2" fillId="5" borderId="1" xfId="0" applyNumberFormat="1" applyFont="1" applyFill="1" applyBorder="1" applyAlignment="1">
      <alignment horizontal="center" vertical="center"/>
    </xf>
    <xf numFmtId="0" fontId="2" fillId="10" borderId="1" xfId="0" applyNumberFormat="1" applyFont="1" applyFill="1" applyBorder="1" applyAlignment="1">
      <alignment horizontal="center" vertical="center"/>
    </xf>
    <xf numFmtId="0" fontId="2" fillId="4" borderId="1" xfId="0" applyNumberFormat="1" applyFont="1" applyFill="1" applyBorder="1" applyAlignment="1">
      <alignment horizontal="center" vertical="center"/>
    </xf>
    <xf numFmtId="2" fontId="2" fillId="12" borderId="1" xfId="0" applyNumberFormat="1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10" fontId="2" fillId="5" borderId="1" xfId="0" applyNumberFormat="1" applyFont="1" applyFill="1" applyBorder="1" applyAlignment="1">
      <alignment horizontal="center" vertical="center"/>
    </xf>
    <xf numFmtId="165" fontId="2" fillId="5" borderId="1" xfId="0" applyNumberFormat="1" applyFont="1" applyFill="1" applyBorder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65" fontId="2" fillId="4" borderId="1" xfId="0" applyNumberFormat="1" applyFont="1" applyFill="1" applyBorder="1" applyAlignment="1">
      <alignment horizontal="center" vertical="center"/>
    </xf>
    <xf numFmtId="2" fontId="2" fillId="12" borderId="1" xfId="0" applyNumberFormat="1" applyFont="1" applyFill="1" applyBorder="1" applyAlignment="1">
      <alignment horizontal="center" vertical="center" wrapText="1"/>
    </xf>
    <xf numFmtId="0" fontId="8" fillId="0" borderId="8" xfId="0" applyFont="1" applyBorder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2" fontId="2" fillId="4" borderId="1" xfId="0" applyNumberFormat="1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165" fontId="2" fillId="10" borderId="1" xfId="0" applyNumberFormat="1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166" fontId="2" fillId="5" borderId="1" xfId="0" applyNumberFormat="1" applyFont="1" applyFill="1" applyBorder="1" applyAlignment="1">
      <alignment horizontal="center" vertical="center"/>
    </xf>
    <xf numFmtId="0" fontId="2" fillId="1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5" borderId="1" xfId="0" applyNumberFormat="1" applyFont="1" applyFill="1" applyBorder="1" applyAlignment="1">
      <alignment horizontal="center" vertical="center"/>
    </xf>
    <xf numFmtId="0" fontId="2" fillId="6" borderId="1" xfId="0" applyNumberFormat="1" applyFont="1" applyFill="1" applyBorder="1" applyAlignment="1">
      <alignment horizontal="center" vertical="center" wrapText="1"/>
    </xf>
    <xf numFmtId="165" fontId="2" fillId="5" borderId="1" xfId="0" applyNumberFormat="1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0" fillId="0" borderId="1" xfId="0" applyFont="1" applyBorder="1"/>
  </cellXfs>
  <cellStyles count="1">
    <cellStyle name="Normal" xfId="0" builtinId="0"/>
  </cellStyles>
  <dxfs count="335">
    <dxf>
      <font>
        <sz val="12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ont>
        <sz val="12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border>
        <top style="thin">
          <color rgb="FF000000"/>
        </top>
      </border>
    </dxf>
    <dxf>
      <fill>
        <patternFill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$$-540A]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9" tint="-0.24994659260841701"/>
      </font>
    </dxf>
    <dxf>
      <font>
        <color rgb="FFFF0000"/>
      </font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FF66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FF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ont>
        <sz val="12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border>
        <top style="thin">
          <color rgb="FF000000"/>
        </top>
      </border>
    </dxf>
    <dxf>
      <fill>
        <patternFill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$$-540A]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9" tint="-0.24994659260841701"/>
      </font>
    </dxf>
    <dxf>
      <font>
        <color rgb="FFFF0000"/>
      </font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FF66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FF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ont>
        <sz val="12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border>
        <top style="thin">
          <color rgb="FF000000"/>
        </top>
      </border>
    </dxf>
    <dxf>
      <fill>
        <patternFill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$$-540A]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9" tint="-0.24994659260841701"/>
      </font>
    </dxf>
    <dxf>
      <font>
        <color rgb="FFFF0000"/>
      </font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FF66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FF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ont>
        <sz val="12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border>
        <top style="thin">
          <color rgb="FF000000"/>
        </top>
      </border>
    </dxf>
    <dxf>
      <fill>
        <patternFill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$$-540A]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9" tint="-0.24994659260841701"/>
      </font>
    </dxf>
    <dxf>
      <font>
        <color rgb="FFFF0000"/>
      </font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FF66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FF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ont>
        <sz val="12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font>
        <sz val="12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border>
        <top style="thin">
          <color rgb="FF000000"/>
        </top>
      </border>
    </dxf>
    <dxf>
      <fill>
        <patternFill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$$-540A]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9" tint="-0.24994659260841701"/>
      </font>
    </dxf>
    <dxf>
      <font>
        <color rgb="FFFF0000"/>
      </font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FF66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FF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numFmt numFmtId="0" formatCode="General"/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border>
        <top style="thin">
          <color indexed="64"/>
        </top>
      </border>
    </dxf>
    <dxf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$$-540A]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ont>
        <color theme="9" tint="-0.24994659260841701"/>
      </font>
    </dxf>
    <dxf>
      <font>
        <color rgb="FFFF0000"/>
      </font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CC66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FF66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FF66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3" formatCode="0%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ill>
        <patternFill>
          <bgColor theme="9" tint="0.39994506668294322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ont>
        <color rgb="FFFF9999"/>
      </font>
      <fill>
        <patternFill>
          <bgColor theme="1"/>
        </patternFill>
      </fill>
      <border>
        <vertical/>
        <horizontal/>
      </border>
    </dxf>
    <dxf>
      <font>
        <b val="0"/>
        <i val="0"/>
        <color theme="9"/>
      </font>
      <fill>
        <patternFill>
          <fgColor auto="1"/>
          <bgColor theme="1"/>
        </patternFill>
      </fill>
      <border>
        <vertical/>
        <horizontal/>
      </border>
    </dxf>
    <dxf>
      <font>
        <color rgb="FFFF9999"/>
      </font>
    </dxf>
  </dxfs>
  <tableStyles count="0" defaultTableStyle="TableStyleMedium2" defaultPivotStyle="PivotStyleLight16"/>
  <colors>
    <mruColors>
      <color rgb="FFFF9999"/>
      <color rgb="FFFFFF99"/>
      <color rgb="FFFF7C80"/>
      <color rgb="FFFFFF66"/>
      <color rgb="FFFFCC66"/>
      <color rgb="FFFF9933"/>
      <color rgb="FFFF66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186705</xdr:colOff>
      <xdr:row>0</xdr:row>
      <xdr:rowOff>130214</xdr:rowOff>
    </xdr:from>
    <xdr:to>
      <xdr:col>22</xdr:col>
      <xdr:colOff>64696</xdr:colOff>
      <xdr:row>1</xdr:row>
      <xdr:rowOff>172316</xdr:rowOff>
    </xdr:to>
    <xdr:sp macro="[0]!Contar_Break_Even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6903080" y="130214"/>
          <a:ext cx="2916466" cy="49930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COUNT</a:t>
          </a:r>
          <a:r>
            <a:rPr lang="en-US" sz="1200" b="1" baseline="0">
              <a:solidFill>
                <a:schemeClr val="tx1"/>
              </a:solidFill>
            </a:rPr>
            <a:t> B</a:t>
          </a:r>
          <a:r>
            <a:rPr lang="en-US" sz="1200" b="1">
              <a:solidFill>
                <a:schemeClr val="tx1"/>
              </a:solidFill>
            </a:rPr>
            <a:t>REAK EVEN</a:t>
          </a:r>
        </a:p>
      </xdr:txBody>
    </xdr:sp>
    <xdr:clientData/>
  </xdr:twoCellAnchor>
  <xdr:twoCellAnchor>
    <xdr:from>
      <xdr:col>19</xdr:col>
      <xdr:colOff>174337</xdr:colOff>
      <xdr:row>2</xdr:row>
      <xdr:rowOff>142176</xdr:rowOff>
    </xdr:from>
    <xdr:to>
      <xdr:col>22</xdr:col>
      <xdr:colOff>64490</xdr:colOff>
      <xdr:row>5</xdr:row>
      <xdr:rowOff>8372</xdr:rowOff>
    </xdr:to>
    <xdr:sp macro="[0]!Ignorar_Break_Even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8433762" y="789876"/>
          <a:ext cx="2176153" cy="437696"/>
        </a:xfrm>
        <a:prstGeom prst="round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IGNORE</a:t>
          </a:r>
          <a:r>
            <a:rPr lang="en-US" sz="1200" b="1" baseline="0">
              <a:solidFill>
                <a:schemeClr val="tx1"/>
              </a:solidFill>
            </a:rPr>
            <a:t> BREAK EVEN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188397</xdr:colOff>
      <xdr:row>6</xdr:row>
      <xdr:rowOff>9195</xdr:rowOff>
    </xdr:from>
    <xdr:to>
      <xdr:col>22</xdr:col>
      <xdr:colOff>49522</xdr:colOff>
      <xdr:row>8</xdr:row>
      <xdr:rowOff>42801</xdr:rowOff>
    </xdr:to>
    <xdr:sp macro="[0]!Descontar_Break_Even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7409597" y="1418895"/>
          <a:ext cx="2147125" cy="414606"/>
        </a:xfrm>
        <a:prstGeom prst="roundRect">
          <a:avLst/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DISCOUNT BREAK EVEN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200025</xdr:colOff>
      <xdr:row>12</xdr:row>
      <xdr:rowOff>0</xdr:rowOff>
    </xdr:from>
    <xdr:to>
      <xdr:col>16</xdr:col>
      <xdr:colOff>152400</xdr:colOff>
      <xdr:row>14</xdr:row>
      <xdr:rowOff>19050</xdr:rowOff>
    </xdr:to>
    <xdr:sp macro="[0]!Calcular_USD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458825" y="3209925"/>
          <a:ext cx="1552575" cy="4000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+mn-lt"/>
            </a:rPr>
            <a:t>Calculate USD</a:t>
          </a:r>
        </a:p>
        <a:p>
          <a:pPr algn="l"/>
          <a:endParaRPr lang="en-US" sz="1100"/>
        </a:p>
      </xdr:txBody>
    </xdr:sp>
    <xdr:clientData/>
  </xdr:twoCellAnchor>
  <xdr:twoCellAnchor>
    <xdr:from>
      <xdr:col>14</xdr:col>
      <xdr:colOff>209550</xdr:colOff>
      <xdr:row>14</xdr:row>
      <xdr:rowOff>95250</xdr:rowOff>
    </xdr:from>
    <xdr:to>
      <xdr:col>16</xdr:col>
      <xdr:colOff>161925</xdr:colOff>
      <xdr:row>16</xdr:row>
      <xdr:rowOff>114300</xdr:rowOff>
    </xdr:to>
    <xdr:sp macro="[0]!Calcular_Crypto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3468350" y="3686175"/>
          <a:ext cx="1552575" cy="400050"/>
        </a:xfrm>
        <a:prstGeom prst="round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+mn-lt"/>
            </a:rPr>
            <a:t>Calculate Crypto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186705</xdr:colOff>
      <xdr:row>0</xdr:row>
      <xdr:rowOff>130214</xdr:rowOff>
    </xdr:from>
    <xdr:to>
      <xdr:col>22</xdr:col>
      <xdr:colOff>64696</xdr:colOff>
      <xdr:row>1</xdr:row>
      <xdr:rowOff>172316</xdr:rowOff>
    </xdr:to>
    <xdr:sp macro="[0]!Contar_Break_Even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903080" y="130214"/>
          <a:ext cx="2916466" cy="49930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CONTAR BREAK EVEN</a:t>
          </a:r>
        </a:p>
      </xdr:txBody>
    </xdr:sp>
    <xdr:clientData/>
  </xdr:twoCellAnchor>
  <xdr:twoCellAnchor>
    <xdr:from>
      <xdr:col>19</xdr:col>
      <xdr:colOff>174337</xdr:colOff>
      <xdr:row>2</xdr:row>
      <xdr:rowOff>142176</xdr:rowOff>
    </xdr:from>
    <xdr:to>
      <xdr:col>22</xdr:col>
      <xdr:colOff>64490</xdr:colOff>
      <xdr:row>5</xdr:row>
      <xdr:rowOff>8372</xdr:rowOff>
    </xdr:to>
    <xdr:sp macro="[0]!Ignorar_Break_Even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6890712" y="799401"/>
          <a:ext cx="2928628" cy="466271"/>
        </a:xfrm>
        <a:prstGeom prst="round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IGNORAR</a:t>
          </a:r>
          <a:r>
            <a:rPr lang="en-US" sz="1200" b="1" baseline="0">
              <a:solidFill>
                <a:schemeClr val="tx1"/>
              </a:solidFill>
            </a:rPr>
            <a:t> BREAK EVEN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188397</xdr:colOff>
      <xdr:row>6</xdr:row>
      <xdr:rowOff>9195</xdr:rowOff>
    </xdr:from>
    <xdr:to>
      <xdr:col>22</xdr:col>
      <xdr:colOff>49522</xdr:colOff>
      <xdr:row>8</xdr:row>
      <xdr:rowOff>42801</xdr:rowOff>
    </xdr:to>
    <xdr:sp macro="[0]!Descontar_Break_Even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904772" y="1466520"/>
          <a:ext cx="2899600" cy="433656"/>
        </a:xfrm>
        <a:prstGeom prst="roundRect">
          <a:avLst/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DESCONTAR BREAK EVEN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200025</xdr:colOff>
      <xdr:row>12</xdr:row>
      <xdr:rowOff>0</xdr:rowOff>
    </xdr:from>
    <xdr:to>
      <xdr:col>16</xdr:col>
      <xdr:colOff>152400</xdr:colOff>
      <xdr:row>14</xdr:row>
      <xdr:rowOff>19050</xdr:rowOff>
    </xdr:to>
    <xdr:sp macro="[0]!Calcular_USD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296775" y="2724150"/>
          <a:ext cx="1638300" cy="4381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+mn-lt"/>
            </a:rPr>
            <a:t>Calcular USD</a:t>
          </a:r>
        </a:p>
        <a:p>
          <a:pPr algn="l"/>
          <a:endParaRPr lang="en-US" sz="1100"/>
        </a:p>
      </xdr:txBody>
    </xdr:sp>
    <xdr:clientData/>
  </xdr:twoCellAnchor>
  <xdr:twoCellAnchor>
    <xdr:from>
      <xdr:col>14</xdr:col>
      <xdr:colOff>209550</xdr:colOff>
      <xdr:row>14</xdr:row>
      <xdr:rowOff>95250</xdr:rowOff>
    </xdr:from>
    <xdr:to>
      <xdr:col>16</xdr:col>
      <xdr:colOff>161925</xdr:colOff>
      <xdr:row>16</xdr:row>
      <xdr:rowOff>114300</xdr:rowOff>
    </xdr:to>
    <xdr:sp macro="[0]!Calcular_Crypt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306300" y="3238500"/>
          <a:ext cx="1638300" cy="438150"/>
        </a:xfrm>
        <a:prstGeom prst="round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+mn-lt"/>
            </a:rPr>
            <a:t>Calcular Crypto</a:t>
          </a:r>
        </a:p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186705</xdr:colOff>
      <xdr:row>0</xdr:row>
      <xdr:rowOff>130214</xdr:rowOff>
    </xdr:from>
    <xdr:to>
      <xdr:col>22</xdr:col>
      <xdr:colOff>64696</xdr:colOff>
      <xdr:row>1</xdr:row>
      <xdr:rowOff>172316</xdr:rowOff>
    </xdr:to>
    <xdr:sp macro="[0]!Contar_Break_Even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6903080" y="130214"/>
          <a:ext cx="2916466" cy="49930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CONTAR BREAK EVEN</a:t>
          </a:r>
        </a:p>
      </xdr:txBody>
    </xdr:sp>
    <xdr:clientData/>
  </xdr:twoCellAnchor>
  <xdr:twoCellAnchor>
    <xdr:from>
      <xdr:col>19</xdr:col>
      <xdr:colOff>174337</xdr:colOff>
      <xdr:row>2</xdr:row>
      <xdr:rowOff>142176</xdr:rowOff>
    </xdr:from>
    <xdr:to>
      <xdr:col>22</xdr:col>
      <xdr:colOff>64490</xdr:colOff>
      <xdr:row>5</xdr:row>
      <xdr:rowOff>8372</xdr:rowOff>
    </xdr:to>
    <xdr:sp macro="[0]!Ignorar_Break_Even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6890712" y="799401"/>
          <a:ext cx="2928628" cy="466271"/>
        </a:xfrm>
        <a:prstGeom prst="round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IGNORAR</a:t>
          </a:r>
          <a:r>
            <a:rPr lang="en-US" sz="1200" b="1" baseline="0">
              <a:solidFill>
                <a:schemeClr val="tx1"/>
              </a:solidFill>
            </a:rPr>
            <a:t> BREAK EVEN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188397</xdr:colOff>
      <xdr:row>6</xdr:row>
      <xdr:rowOff>9195</xdr:rowOff>
    </xdr:from>
    <xdr:to>
      <xdr:col>22</xdr:col>
      <xdr:colOff>49522</xdr:colOff>
      <xdr:row>8</xdr:row>
      <xdr:rowOff>42801</xdr:rowOff>
    </xdr:to>
    <xdr:sp macro="[0]!Descontar_Break_Even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6904772" y="1466520"/>
          <a:ext cx="2899600" cy="433656"/>
        </a:xfrm>
        <a:prstGeom prst="roundRect">
          <a:avLst/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DESCONTAR BREAK EVEN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200025</xdr:colOff>
      <xdr:row>12</xdr:row>
      <xdr:rowOff>0</xdr:rowOff>
    </xdr:from>
    <xdr:to>
      <xdr:col>16</xdr:col>
      <xdr:colOff>152400</xdr:colOff>
      <xdr:row>14</xdr:row>
      <xdr:rowOff>19050</xdr:rowOff>
    </xdr:to>
    <xdr:sp macro="[0]!Calcular_USD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296775" y="2724150"/>
          <a:ext cx="1638300" cy="4381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+mn-lt"/>
            </a:rPr>
            <a:t>Calcular USD</a:t>
          </a:r>
        </a:p>
        <a:p>
          <a:pPr algn="l"/>
          <a:endParaRPr lang="en-US" sz="1100"/>
        </a:p>
      </xdr:txBody>
    </xdr:sp>
    <xdr:clientData/>
  </xdr:twoCellAnchor>
  <xdr:twoCellAnchor>
    <xdr:from>
      <xdr:col>14</xdr:col>
      <xdr:colOff>209550</xdr:colOff>
      <xdr:row>14</xdr:row>
      <xdr:rowOff>95250</xdr:rowOff>
    </xdr:from>
    <xdr:to>
      <xdr:col>16</xdr:col>
      <xdr:colOff>161925</xdr:colOff>
      <xdr:row>16</xdr:row>
      <xdr:rowOff>114300</xdr:rowOff>
    </xdr:to>
    <xdr:sp macro="[0]!Calcular_Crypt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2306300" y="3238500"/>
          <a:ext cx="1638300" cy="438150"/>
        </a:xfrm>
        <a:prstGeom prst="round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+mn-lt"/>
            </a:rPr>
            <a:t>Calcular Crypto</a:t>
          </a:r>
        </a:p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186705</xdr:colOff>
      <xdr:row>0</xdr:row>
      <xdr:rowOff>130214</xdr:rowOff>
    </xdr:from>
    <xdr:to>
      <xdr:col>22</xdr:col>
      <xdr:colOff>64696</xdr:colOff>
      <xdr:row>1</xdr:row>
      <xdr:rowOff>172316</xdr:rowOff>
    </xdr:to>
    <xdr:sp macro="[0]!Contar_Break_Even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6903080" y="130214"/>
          <a:ext cx="2916466" cy="49930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CONTAR BREAK EVEN</a:t>
          </a:r>
        </a:p>
      </xdr:txBody>
    </xdr:sp>
    <xdr:clientData/>
  </xdr:twoCellAnchor>
  <xdr:twoCellAnchor>
    <xdr:from>
      <xdr:col>19</xdr:col>
      <xdr:colOff>174337</xdr:colOff>
      <xdr:row>2</xdr:row>
      <xdr:rowOff>142176</xdr:rowOff>
    </xdr:from>
    <xdr:to>
      <xdr:col>22</xdr:col>
      <xdr:colOff>64490</xdr:colOff>
      <xdr:row>5</xdr:row>
      <xdr:rowOff>8372</xdr:rowOff>
    </xdr:to>
    <xdr:sp macro="[0]!Ignorar_Break_Even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6890712" y="799401"/>
          <a:ext cx="2928628" cy="466271"/>
        </a:xfrm>
        <a:prstGeom prst="round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IGNORAR</a:t>
          </a:r>
          <a:r>
            <a:rPr lang="en-US" sz="1200" b="1" baseline="0">
              <a:solidFill>
                <a:schemeClr val="tx1"/>
              </a:solidFill>
            </a:rPr>
            <a:t> BREAK EVEN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188397</xdr:colOff>
      <xdr:row>6</xdr:row>
      <xdr:rowOff>9195</xdr:rowOff>
    </xdr:from>
    <xdr:to>
      <xdr:col>22</xdr:col>
      <xdr:colOff>49522</xdr:colOff>
      <xdr:row>8</xdr:row>
      <xdr:rowOff>42801</xdr:rowOff>
    </xdr:to>
    <xdr:sp macro="[0]!Descontar_Break_Even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6904772" y="1466520"/>
          <a:ext cx="2899600" cy="433656"/>
        </a:xfrm>
        <a:prstGeom prst="roundRect">
          <a:avLst/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DESCONTAR BREAK EVEN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200025</xdr:colOff>
      <xdr:row>12</xdr:row>
      <xdr:rowOff>0</xdr:rowOff>
    </xdr:from>
    <xdr:to>
      <xdr:col>16</xdr:col>
      <xdr:colOff>152400</xdr:colOff>
      <xdr:row>14</xdr:row>
      <xdr:rowOff>19050</xdr:rowOff>
    </xdr:to>
    <xdr:sp macro="[0]!Calcular_USD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296775" y="2724150"/>
          <a:ext cx="1638300" cy="4381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+mn-lt"/>
            </a:rPr>
            <a:t>Calcular USD</a:t>
          </a:r>
        </a:p>
        <a:p>
          <a:pPr algn="l"/>
          <a:endParaRPr lang="en-US" sz="1100"/>
        </a:p>
      </xdr:txBody>
    </xdr:sp>
    <xdr:clientData/>
  </xdr:twoCellAnchor>
  <xdr:twoCellAnchor>
    <xdr:from>
      <xdr:col>14</xdr:col>
      <xdr:colOff>209550</xdr:colOff>
      <xdr:row>14</xdr:row>
      <xdr:rowOff>95250</xdr:rowOff>
    </xdr:from>
    <xdr:to>
      <xdr:col>16</xdr:col>
      <xdr:colOff>161925</xdr:colOff>
      <xdr:row>16</xdr:row>
      <xdr:rowOff>114300</xdr:rowOff>
    </xdr:to>
    <xdr:sp macro="[0]!Calcular_Crypt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306300" y="3238500"/>
          <a:ext cx="1638300" cy="438150"/>
        </a:xfrm>
        <a:prstGeom prst="round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+mn-lt"/>
            </a:rPr>
            <a:t>Calcular Crypto</a:t>
          </a:r>
        </a:p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186705</xdr:colOff>
      <xdr:row>0</xdr:row>
      <xdr:rowOff>130214</xdr:rowOff>
    </xdr:from>
    <xdr:to>
      <xdr:col>22</xdr:col>
      <xdr:colOff>64696</xdr:colOff>
      <xdr:row>1</xdr:row>
      <xdr:rowOff>172316</xdr:rowOff>
    </xdr:to>
    <xdr:sp macro="[0]!Contar_Break_Even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6903080" y="130214"/>
          <a:ext cx="2916466" cy="49930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CONTAR BREAK EVEN</a:t>
          </a:r>
        </a:p>
      </xdr:txBody>
    </xdr:sp>
    <xdr:clientData/>
  </xdr:twoCellAnchor>
  <xdr:twoCellAnchor>
    <xdr:from>
      <xdr:col>19</xdr:col>
      <xdr:colOff>174337</xdr:colOff>
      <xdr:row>2</xdr:row>
      <xdr:rowOff>142176</xdr:rowOff>
    </xdr:from>
    <xdr:to>
      <xdr:col>22</xdr:col>
      <xdr:colOff>64490</xdr:colOff>
      <xdr:row>5</xdr:row>
      <xdr:rowOff>8372</xdr:rowOff>
    </xdr:to>
    <xdr:sp macro="[0]!Ignorar_Break_Even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890712" y="799401"/>
          <a:ext cx="2928628" cy="466271"/>
        </a:xfrm>
        <a:prstGeom prst="round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IGNORAR</a:t>
          </a:r>
          <a:r>
            <a:rPr lang="en-US" sz="1200" b="1" baseline="0">
              <a:solidFill>
                <a:schemeClr val="tx1"/>
              </a:solidFill>
            </a:rPr>
            <a:t> BREAK EVEN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188397</xdr:colOff>
      <xdr:row>6</xdr:row>
      <xdr:rowOff>9195</xdr:rowOff>
    </xdr:from>
    <xdr:to>
      <xdr:col>22</xdr:col>
      <xdr:colOff>49522</xdr:colOff>
      <xdr:row>8</xdr:row>
      <xdr:rowOff>42801</xdr:rowOff>
    </xdr:to>
    <xdr:sp macro="[0]!Descontar_Break_Even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6904772" y="1466520"/>
          <a:ext cx="2899600" cy="433656"/>
        </a:xfrm>
        <a:prstGeom prst="roundRect">
          <a:avLst/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DESCONTAR BREAK EVEN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200025</xdr:colOff>
      <xdr:row>12</xdr:row>
      <xdr:rowOff>0</xdr:rowOff>
    </xdr:from>
    <xdr:to>
      <xdr:col>16</xdr:col>
      <xdr:colOff>152400</xdr:colOff>
      <xdr:row>14</xdr:row>
      <xdr:rowOff>19050</xdr:rowOff>
    </xdr:to>
    <xdr:sp macro="[0]!Calcular_USD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2296775" y="2724150"/>
          <a:ext cx="1638300" cy="4381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+mn-lt"/>
            </a:rPr>
            <a:t>Calcular USD</a:t>
          </a:r>
        </a:p>
        <a:p>
          <a:pPr algn="l"/>
          <a:endParaRPr lang="en-US" sz="1100"/>
        </a:p>
      </xdr:txBody>
    </xdr:sp>
    <xdr:clientData/>
  </xdr:twoCellAnchor>
  <xdr:twoCellAnchor>
    <xdr:from>
      <xdr:col>14</xdr:col>
      <xdr:colOff>209550</xdr:colOff>
      <xdr:row>14</xdr:row>
      <xdr:rowOff>95250</xdr:rowOff>
    </xdr:from>
    <xdr:to>
      <xdr:col>16</xdr:col>
      <xdr:colOff>161925</xdr:colOff>
      <xdr:row>16</xdr:row>
      <xdr:rowOff>114300</xdr:rowOff>
    </xdr:to>
    <xdr:sp macro="[0]!Calcular_Crypt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2306300" y="3238500"/>
          <a:ext cx="1638300" cy="438150"/>
        </a:xfrm>
        <a:prstGeom prst="round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+mn-lt"/>
            </a:rPr>
            <a:t>Calcular Crypto</a:t>
          </a:r>
        </a:p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186705</xdr:colOff>
      <xdr:row>0</xdr:row>
      <xdr:rowOff>130214</xdr:rowOff>
    </xdr:from>
    <xdr:to>
      <xdr:col>22</xdr:col>
      <xdr:colOff>64696</xdr:colOff>
      <xdr:row>1</xdr:row>
      <xdr:rowOff>172316</xdr:rowOff>
    </xdr:to>
    <xdr:sp macro="[0]!Contar_Break_Even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6903080" y="130214"/>
          <a:ext cx="2916466" cy="49930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CONTAR BREAK EVEN</a:t>
          </a:r>
        </a:p>
      </xdr:txBody>
    </xdr:sp>
    <xdr:clientData/>
  </xdr:twoCellAnchor>
  <xdr:twoCellAnchor>
    <xdr:from>
      <xdr:col>19</xdr:col>
      <xdr:colOff>174337</xdr:colOff>
      <xdr:row>2</xdr:row>
      <xdr:rowOff>142176</xdr:rowOff>
    </xdr:from>
    <xdr:to>
      <xdr:col>22</xdr:col>
      <xdr:colOff>64490</xdr:colOff>
      <xdr:row>5</xdr:row>
      <xdr:rowOff>8372</xdr:rowOff>
    </xdr:to>
    <xdr:sp macro="[0]!Ignorar_Break_Even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6890712" y="799401"/>
          <a:ext cx="2928628" cy="466271"/>
        </a:xfrm>
        <a:prstGeom prst="round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IGNORAR</a:t>
          </a:r>
          <a:r>
            <a:rPr lang="en-US" sz="1200" b="1" baseline="0">
              <a:solidFill>
                <a:schemeClr val="tx1"/>
              </a:solidFill>
            </a:rPr>
            <a:t> BREAK EVEN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188397</xdr:colOff>
      <xdr:row>6</xdr:row>
      <xdr:rowOff>9195</xdr:rowOff>
    </xdr:from>
    <xdr:to>
      <xdr:col>22</xdr:col>
      <xdr:colOff>49522</xdr:colOff>
      <xdr:row>8</xdr:row>
      <xdr:rowOff>42801</xdr:rowOff>
    </xdr:to>
    <xdr:sp macro="[0]!Descontar_Break_Even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6904772" y="1466520"/>
          <a:ext cx="2899600" cy="433656"/>
        </a:xfrm>
        <a:prstGeom prst="roundRect">
          <a:avLst/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DESCONTAR BREAK EVEN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200025</xdr:colOff>
      <xdr:row>12</xdr:row>
      <xdr:rowOff>0</xdr:rowOff>
    </xdr:from>
    <xdr:to>
      <xdr:col>16</xdr:col>
      <xdr:colOff>152400</xdr:colOff>
      <xdr:row>14</xdr:row>
      <xdr:rowOff>19050</xdr:rowOff>
    </xdr:to>
    <xdr:sp macro="[0]!Calcular_USD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2296775" y="2724150"/>
          <a:ext cx="1638300" cy="4381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+mn-lt"/>
            </a:rPr>
            <a:t>Calcular USD</a:t>
          </a:r>
        </a:p>
        <a:p>
          <a:pPr algn="l"/>
          <a:endParaRPr lang="en-US" sz="1100"/>
        </a:p>
      </xdr:txBody>
    </xdr:sp>
    <xdr:clientData/>
  </xdr:twoCellAnchor>
  <xdr:twoCellAnchor>
    <xdr:from>
      <xdr:col>14</xdr:col>
      <xdr:colOff>209550</xdr:colOff>
      <xdr:row>14</xdr:row>
      <xdr:rowOff>95250</xdr:rowOff>
    </xdr:from>
    <xdr:to>
      <xdr:col>16</xdr:col>
      <xdr:colOff>161925</xdr:colOff>
      <xdr:row>16</xdr:row>
      <xdr:rowOff>114300</xdr:rowOff>
    </xdr:to>
    <xdr:sp macro="[0]!Calcular_Crypt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2306300" y="3238500"/>
          <a:ext cx="1638300" cy="438150"/>
        </a:xfrm>
        <a:prstGeom prst="round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+mn-lt"/>
            </a:rPr>
            <a:t>Calcular Crypto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22" displayName="Tabla22" ref="D1:J11" totalsRowShown="0" headerRowDxfId="323" dataDxfId="321" headerRowBorderDxfId="322" tableBorderDxfId="320" totalsRowBorderDxfId="319">
  <autoFilter ref="D1:J11" xr:uid="{00000000-0009-0000-0100-000001000000}"/>
  <tableColumns count="7">
    <tableColumn id="1" xr3:uid="{00000000-0010-0000-0000-000001000000}" name="Strategy" dataDxfId="318"/>
    <tableColumn id="8" xr3:uid="{00000000-0010-0000-0000-000008000000}" name="Quantity" dataDxfId="317">
      <calculatedColumnFormula>SUM('Febrero-20'!N2,'Marzo-20'!N2)</calculatedColumnFormula>
    </tableColumn>
    <tableColumn id="14" xr3:uid="{00000000-0010-0000-0000-00000E000000}" name="Same Way" dataDxfId="316">
      <calculatedColumnFormula>IFERROR(AVERAGE('Febrero-20'!O2,'Marzo-20'!O2),"Sin Datos")</calculatedColumnFormula>
    </tableColumn>
    <tableColumn id="15" xr3:uid="{00000000-0010-0000-0000-00000F000000}" name="Reject" dataDxfId="315">
      <calculatedColumnFormula>IFERROR(AVERAGE('Febrero-20'!P2,'Marzo-20'!P2),"Sin Datos")</calculatedColumnFormula>
    </tableColumn>
    <tableColumn id="2" xr3:uid="{00000000-0010-0000-0000-000002000000}" name="Long" dataDxfId="314">
      <calculatedColumnFormula>IFERROR(AVERAGE('Febrero-20'!Q2,'Marzo-20'!Q2),"Sin Datos")</calculatedColumnFormula>
    </tableColumn>
    <tableColumn id="3" xr3:uid="{00000000-0010-0000-0000-000003000000}" name=" Short" dataDxfId="313">
      <calculatedColumnFormula>IFERROR(AVERAGE('Febrero-20'!R2,'Marzo-20'!R2),"Sin Datos")</calculatedColumnFormula>
    </tableColumn>
    <tableColumn id="6" xr3:uid="{00000000-0010-0000-0000-000006000000}" name="Absolute Effectiveness" dataDxfId="312">
      <calculatedColumnFormula>IFERROR(AVERAGE('Febrero-20'!S2,'Marzo-20'!S2),"Sin Datos")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3" displayName="Tabla3" ref="D1:K301" totalsRowShown="0" headerRowDxfId="282" dataDxfId="281">
  <autoFilter ref="D1:K301" xr:uid="{00000000-0009-0000-0100-000004000000}"/>
  <tableColumns count="8">
    <tableColumn id="1" xr3:uid="{00000000-0010-0000-0100-000001000000}" name="Trade #" dataDxfId="280"/>
    <tableColumn id="2" xr3:uid="{00000000-0010-0000-0100-000002000000}" name="Day" dataDxfId="279"/>
    <tableColumn id="5" xr3:uid="{00000000-0010-0000-0100-000005000000}" name="Strategy" dataDxfId="278"/>
    <tableColumn id="10" xr3:uid="{00000000-0010-0000-0100-00000A000000}" name="Direction" dataDxfId="277"/>
    <tableColumn id="6" xr3:uid="{00000000-0010-0000-0100-000006000000}" name="Position" dataDxfId="276"/>
    <tableColumn id="8" xr3:uid="{00000000-0010-0000-0100-000008000000}" name="Result" dataDxfId="275">
      <calculatedColumnFormula>IF(J2="","",IF(J2&gt;3,"Ganado",IF(J2&lt;-3,"Perdido","Break Even")))</calculatedColumnFormula>
    </tableColumn>
    <tableColumn id="9" xr3:uid="{00000000-0010-0000-0100-000009000000}" name="USD" dataDxfId="274"/>
    <tableColumn id="3" xr3:uid="{00000000-0010-0000-0100-000003000000}" name="%" dataDxfId="273">
      <calculatedColumnFormula>IFERROR(Tabla3[[#This Row],[USD]]/$B$1,"")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2" displayName="Tabla2" ref="M1:S11" totalsRowShown="0" headerRowDxfId="272" dataDxfId="270" headerRowBorderDxfId="271" totalsRowBorderDxfId="269">
  <autoFilter ref="M1:S11" xr:uid="{00000000-0009-0000-0100-000002000000}"/>
  <tableColumns count="7">
    <tableColumn id="1" xr3:uid="{00000000-0010-0000-0200-000001000000}" name="Strategy" dataDxfId="268"/>
    <tableColumn id="8" xr3:uid="{00000000-0010-0000-0200-000008000000}" name="Quantity" dataDxfId="267"/>
    <tableColumn id="14" xr3:uid="{00000000-0010-0000-0200-00000E000000}" name="Same Way" dataDxfId="4"/>
    <tableColumn id="15" xr3:uid="{00000000-0010-0000-0200-00000F000000}" name="Reject" dataDxfId="3"/>
    <tableColumn id="2" xr3:uid="{00000000-0010-0000-0200-000002000000}" name="Long" dataDxfId="2"/>
    <tableColumn id="3" xr3:uid="{00000000-0010-0000-0200-000003000000}" name=" Short" dataDxfId="1"/>
    <tableColumn id="6" xr3:uid="{00000000-0010-0000-0200-000006000000}" name="Absolute Effectiveness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34" displayName="Tabla34" ref="D1:K301" totalsRowShown="0" headerRowDxfId="237" dataDxfId="236">
  <autoFilter ref="D1:K301" xr:uid="{00000000-0009-0000-0100-000003000000}"/>
  <tableColumns count="8">
    <tableColumn id="1" xr3:uid="{00000000-0010-0000-0300-000001000000}" name="Trade #" dataDxfId="235"/>
    <tableColumn id="2" xr3:uid="{00000000-0010-0000-0300-000002000000}" name="Día" dataDxfId="234"/>
    <tableColumn id="5" xr3:uid="{00000000-0010-0000-0300-000005000000}" name="Estrategia" dataDxfId="233"/>
    <tableColumn id="10" xr3:uid="{00000000-0010-0000-0300-00000A000000}" name="Sentido" dataDxfId="232"/>
    <tableColumn id="6" xr3:uid="{00000000-0010-0000-0300-000006000000}" name="Posición" dataDxfId="231"/>
    <tableColumn id="8" xr3:uid="{00000000-0010-0000-0300-000008000000}" name="Resultado" dataDxfId="230">
      <calculatedColumnFormula>IF(J2="","",IF(J2&gt;3,"Ganado",IF(J2&lt;-3,"Perdido","Break Even")))</calculatedColumnFormula>
    </tableColumn>
    <tableColumn id="9" xr3:uid="{00000000-0010-0000-0300-000009000000}" name="USD" dataDxfId="229"/>
    <tableColumn id="3" xr3:uid="{00000000-0010-0000-0300-000003000000}" name="%" dataDxfId="228">
      <calculatedColumnFormula>IFERROR(Tabla34[[#This Row],[USD]]/$B$1,"")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26" displayName="Tabla26" ref="M1:S11" totalsRowShown="0" headerRowDxfId="227" dataDxfId="225" headerRowBorderDxfId="226" totalsRowBorderDxfId="224">
  <autoFilter ref="M1:S11" xr:uid="{00000000-0009-0000-0100-000005000000}"/>
  <tableColumns count="7">
    <tableColumn id="1" xr3:uid="{00000000-0010-0000-0400-000001000000}" name="Estrategia" dataDxfId="223"/>
    <tableColumn id="8" xr3:uid="{00000000-0010-0000-0400-000008000000}" name="Cantidad" dataDxfId="222"/>
    <tableColumn id="14" xr3:uid="{00000000-0010-0000-0400-00000E000000}" name="Ida" dataDxfId="221"/>
    <tableColumn id="15" xr3:uid="{00000000-0010-0000-0400-00000F000000}" name="Vuelta" dataDxfId="220"/>
    <tableColumn id="2" xr3:uid="{00000000-0010-0000-0400-000002000000}" name="Long" dataDxfId="219"/>
    <tableColumn id="3" xr3:uid="{00000000-0010-0000-0400-000003000000}" name=" Short" dataDxfId="218"/>
    <tableColumn id="6" xr3:uid="{00000000-0010-0000-0400-000006000000}" name="Efectividad Absoluta" dataDxfId="2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347" displayName="Tabla347" ref="D1:K301" totalsRowShown="0" headerRowDxfId="187" dataDxfId="186">
  <autoFilter ref="D1:K301" xr:uid="{00000000-0009-0000-0100-000006000000}"/>
  <tableColumns count="8">
    <tableColumn id="1" xr3:uid="{00000000-0010-0000-0500-000001000000}" name="Trade #" dataDxfId="185"/>
    <tableColumn id="2" xr3:uid="{00000000-0010-0000-0500-000002000000}" name="Día" dataDxfId="184"/>
    <tableColumn id="5" xr3:uid="{00000000-0010-0000-0500-000005000000}" name="Estrategia" dataDxfId="183"/>
    <tableColumn id="10" xr3:uid="{00000000-0010-0000-0500-00000A000000}" name="Sentido" dataDxfId="182"/>
    <tableColumn id="6" xr3:uid="{00000000-0010-0000-0500-000006000000}" name="Posición" dataDxfId="181"/>
    <tableColumn id="8" xr3:uid="{00000000-0010-0000-0500-000008000000}" name="Resultado" dataDxfId="180">
      <calculatedColumnFormula>IF(J2="","",IF(J2&gt;3,"Ganado",IF(J2&lt;-3,"Perdido","Break Even")))</calculatedColumnFormula>
    </tableColumn>
    <tableColumn id="9" xr3:uid="{00000000-0010-0000-0500-000009000000}" name="USD" dataDxfId="179"/>
    <tableColumn id="3" xr3:uid="{00000000-0010-0000-0500-000003000000}" name="%" dataDxfId="178">
      <calculatedColumnFormula>IFERROR(Tabla347[[#This Row],[USD]]/$B$1,"")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a268" displayName="Tabla268" ref="M1:S11" totalsRowShown="0" headerRowDxfId="177" dataDxfId="175" headerRowBorderDxfId="176" totalsRowBorderDxfId="174">
  <autoFilter ref="M1:S11" xr:uid="{00000000-0009-0000-0100-000007000000}"/>
  <tableColumns count="7">
    <tableColumn id="1" xr3:uid="{00000000-0010-0000-0600-000001000000}" name="Estrategia" dataDxfId="173"/>
    <tableColumn id="8" xr3:uid="{00000000-0010-0000-0600-000008000000}" name="Cantidad" dataDxfId="172"/>
    <tableColumn id="14" xr3:uid="{00000000-0010-0000-0600-00000E000000}" name="Ida" dataDxfId="171"/>
    <tableColumn id="15" xr3:uid="{00000000-0010-0000-0600-00000F000000}" name="Vuelta" dataDxfId="170"/>
    <tableColumn id="2" xr3:uid="{00000000-0010-0000-0600-000002000000}" name="Long" dataDxfId="169"/>
    <tableColumn id="3" xr3:uid="{00000000-0010-0000-0600-000003000000}" name=" Short" dataDxfId="168"/>
    <tableColumn id="6" xr3:uid="{00000000-0010-0000-0600-000006000000}" name="Efectividad Absoluta" dataDxfId="16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a3479" displayName="Tabla3479" ref="D1:K301" totalsRowShown="0" headerRowDxfId="137" dataDxfId="136">
  <autoFilter ref="D1:K301" xr:uid="{00000000-0009-0000-0100-000008000000}"/>
  <tableColumns count="8">
    <tableColumn id="1" xr3:uid="{00000000-0010-0000-0700-000001000000}" name="Trade #" dataDxfId="135"/>
    <tableColumn id="2" xr3:uid="{00000000-0010-0000-0700-000002000000}" name="Día" dataDxfId="134"/>
    <tableColumn id="5" xr3:uid="{00000000-0010-0000-0700-000005000000}" name="Estrategia" dataDxfId="133"/>
    <tableColumn id="10" xr3:uid="{00000000-0010-0000-0700-00000A000000}" name="Sentido" dataDxfId="132"/>
    <tableColumn id="6" xr3:uid="{00000000-0010-0000-0700-000006000000}" name="Posición" dataDxfId="131"/>
    <tableColumn id="8" xr3:uid="{00000000-0010-0000-0700-000008000000}" name="Resultado" dataDxfId="130">
      <calculatedColumnFormula>IF(J2="","",IF(J2&gt;3,"Ganado",IF(J2&lt;-3,"Perdido","Break Even")))</calculatedColumnFormula>
    </tableColumn>
    <tableColumn id="9" xr3:uid="{00000000-0010-0000-0700-000009000000}" name="USD" dataDxfId="129"/>
    <tableColumn id="3" xr3:uid="{00000000-0010-0000-0700-000003000000}" name="%" dataDxfId="128">
      <calculatedColumnFormula>IFERROR(Tabla3479[[#This Row],[USD]]/$B$1,"")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26810" displayName="Tabla26810" ref="M1:S11" totalsRowShown="0" headerRowDxfId="127" dataDxfId="125" headerRowBorderDxfId="126" totalsRowBorderDxfId="124">
  <autoFilter ref="M1:S11" xr:uid="{00000000-0009-0000-0100-000009000000}"/>
  <tableColumns count="7">
    <tableColumn id="1" xr3:uid="{00000000-0010-0000-0800-000001000000}" name="Estrategia" dataDxfId="123"/>
    <tableColumn id="8" xr3:uid="{00000000-0010-0000-0800-000008000000}" name="Cantidad" dataDxfId="122"/>
    <tableColumn id="14" xr3:uid="{00000000-0010-0000-0800-00000E000000}" name="Ida" dataDxfId="121"/>
    <tableColumn id="15" xr3:uid="{00000000-0010-0000-0800-00000F000000}" name="Vuelta" dataDxfId="120"/>
    <tableColumn id="2" xr3:uid="{00000000-0010-0000-0800-000002000000}" name="Long" dataDxfId="119"/>
    <tableColumn id="3" xr3:uid="{00000000-0010-0000-0800-000003000000}" name=" Short" dataDxfId="118"/>
    <tableColumn id="6" xr3:uid="{00000000-0010-0000-0800-000006000000}" name="Efectividad Absoluta" dataDxfId="11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a347911" displayName="Tabla347911" ref="D1:K301" totalsRowShown="0" headerRowDxfId="87" dataDxfId="86">
  <autoFilter ref="D1:K301" xr:uid="{00000000-0009-0000-0100-00000A000000}"/>
  <tableColumns count="8">
    <tableColumn id="1" xr3:uid="{00000000-0010-0000-0900-000001000000}" name="Trade #" dataDxfId="85"/>
    <tableColumn id="2" xr3:uid="{00000000-0010-0000-0900-000002000000}" name="Día" dataDxfId="84"/>
    <tableColumn id="5" xr3:uid="{00000000-0010-0000-0900-000005000000}" name="Estrategia" dataDxfId="83"/>
    <tableColumn id="10" xr3:uid="{00000000-0010-0000-0900-00000A000000}" name="Sentido" dataDxfId="82"/>
    <tableColumn id="6" xr3:uid="{00000000-0010-0000-0900-000006000000}" name="Posición" dataDxfId="81"/>
    <tableColumn id="8" xr3:uid="{00000000-0010-0000-0900-000008000000}" name="Resultado" dataDxfId="80">
      <calculatedColumnFormula>IF(J2="","",IF(J2&gt;3,"Ganado",IF(J2&lt;-3,"Perdido","Break Even")))</calculatedColumnFormula>
    </tableColumn>
    <tableColumn id="9" xr3:uid="{00000000-0010-0000-0900-000009000000}" name="USD" dataDxfId="79"/>
    <tableColumn id="3" xr3:uid="{00000000-0010-0000-0900-000003000000}" name="%" dataDxfId="78">
      <calculatedColumnFormula>IFERROR(Tabla347911[[#This Row],[USD]]/$B$1,"")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a2681012" displayName="Tabla2681012" ref="M1:S11" totalsRowShown="0" headerRowDxfId="77" dataDxfId="75" headerRowBorderDxfId="76" totalsRowBorderDxfId="74">
  <autoFilter ref="M1:S11" xr:uid="{00000000-0009-0000-0100-00000B000000}"/>
  <tableColumns count="7">
    <tableColumn id="1" xr3:uid="{00000000-0010-0000-0A00-000001000000}" name="Estrategia" dataDxfId="73"/>
    <tableColumn id="8" xr3:uid="{00000000-0010-0000-0A00-000008000000}" name="Cantidad" dataDxfId="72"/>
    <tableColumn id="14" xr3:uid="{00000000-0010-0000-0A00-00000E000000}" name="Ida" dataDxfId="71"/>
    <tableColumn id="15" xr3:uid="{00000000-0010-0000-0A00-00000F000000}" name="Vuelta" dataDxfId="70"/>
    <tableColumn id="2" xr3:uid="{00000000-0010-0000-0A00-000002000000}" name="Long" dataDxfId="69"/>
    <tableColumn id="3" xr3:uid="{00000000-0010-0000-0A00-000003000000}" name=" Short" dataDxfId="68"/>
    <tableColumn id="6" xr3:uid="{00000000-0010-0000-0A00-000006000000}" name="Efectividad Absoluta" dataDxfId="6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a3413" displayName="Tabla3413" ref="D1:K301" totalsRowShown="0" headerRowDxfId="37" dataDxfId="36">
  <autoFilter ref="D1:K301" xr:uid="{00000000-0009-0000-0100-00000C000000}"/>
  <tableColumns count="8">
    <tableColumn id="1" xr3:uid="{00000000-0010-0000-0B00-000001000000}" name="Trade #" dataDxfId="35"/>
    <tableColumn id="2" xr3:uid="{00000000-0010-0000-0B00-000002000000}" name="Día" dataDxfId="34"/>
    <tableColumn id="5" xr3:uid="{00000000-0010-0000-0B00-000005000000}" name="Estrategia" dataDxfId="33"/>
    <tableColumn id="10" xr3:uid="{00000000-0010-0000-0B00-00000A000000}" name="Sentido" dataDxfId="32"/>
    <tableColumn id="6" xr3:uid="{00000000-0010-0000-0B00-000006000000}" name="Posición" dataDxfId="31"/>
    <tableColumn id="8" xr3:uid="{00000000-0010-0000-0B00-000008000000}" name="Resultado" dataDxfId="30">
      <calculatedColumnFormula>IF(J2="","",IF(J2&gt;3,"Ganado",IF(J2&lt;-3,"Perdido","Break Even")))</calculatedColumnFormula>
    </tableColumn>
    <tableColumn id="9" xr3:uid="{00000000-0010-0000-0B00-000009000000}" name="USD" dataDxfId="29"/>
    <tableColumn id="3" xr3:uid="{00000000-0010-0000-0B00-000003000000}" name="%" dataDxfId="28">
      <calculatedColumnFormula>IFERROR(Tabla3413[[#This Row],[USD]]/$B$1,"")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a2614" displayName="Tabla2614" ref="M1:S11" totalsRowShown="0" headerRowDxfId="27" dataDxfId="25" headerRowBorderDxfId="26" totalsRowBorderDxfId="24">
  <autoFilter ref="M1:S11" xr:uid="{00000000-0009-0000-0100-00000D000000}"/>
  <tableColumns count="7">
    <tableColumn id="1" xr3:uid="{00000000-0010-0000-0C00-000001000000}" name="Estrategia" dataDxfId="23"/>
    <tableColumn id="8" xr3:uid="{00000000-0010-0000-0C00-000008000000}" name="Cantidad" dataDxfId="22"/>
    <tableColumn id="14" xr3:uid="{00000000-0010-0000-0C00-00000E000000}" name="Ida" dataDxfId="21"/>
    <tableColumn id="15" xr3:uid="{00000000-0010-0000-0C00-00000F000000}" name="Vuelta" dataDxfId="20"/>
    <tableColumn id="2" xr3:uid="{00000000-0010-0000-0C00-000002000000}" name="Long" dataDxfId="19"/>
    <tableColumn id="3" xr3:uid="{00000000-0010-0000-0C00-000003000000}" name=" Short" dataDxfId="18"/>
    <tableColumn id="6" xr3:uid="{00000000-0010-0000-0C00-000006000000}" name="Efectividad Absoluta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19"/>
  <sheetViews>
    <sheetView workbookViewId="0">
      <selection activeCell="G18" sqref="G18:M19"/>
    </sheetView>
  </sheetViews>
  <sheetFormatPr defaultColWidth="11.42578125" defaultRowHeight="15.75" x14ac:dyDescent="0.25"/>
  <cols>
    <col min="1" max="1" width="21" style="14" customWidth="1"/>
    <col min="2" max="2" width="15.28515625" style="14" customWidth="1"/>
    <col min="3" max="3" width="3" style="14" customWidth="1"/>
    <col min="4" max="4" width="12.7109375" style="14" customWidth="1"/>
    <col min="5" max="7" width="11.42578125" style="14"/>
    <col min="8" max="8" width="13.140625" style="14" customWidth="1"/>
    <col min="9" max="9" width="11.42578125" style="14" customWidth="1"/>
    <col min="10" max="10" width="12" style="14" customWidth="1"/>
    <col min="11" max="11" width="11.28515625" style="14" customWidth="1"/>
    <col min="12" max="12" width="15.5703125" style="14" customWidth="1"/>
    <col min="13" max="13" width="11.140625" style="14" customWidth="1"/>
    <col min="14" max="16384" width="11.42578125" style="14"/>
  </cols>
  <sheetData>
    <row r="1" spans="1:16" ht="18.75" customHeight="1" x14ac:dyDescent="0.25">
      <c r="A1" s="68" t="s">
        <v>61</v>
      </c>
      <c r="B1" s="69"/>
      <c r="C1" s="42"/>
      <c r="D1" s="42"/>
      <c r="E1" s="70" t="s">
        <v>96</v>
      </c>
      <c r="F1" s="70"/>
      <c r="G1" s="70"/>
      <c r="H1" s="70"/>
      <c r="I1" s="70"/>
      <c r="J1" s="70"/>
      <c r="K1" s="70"/>
      <c r="L1" s="70"/>
    </row>
    <row r="2" spans="1:16" ht="15.75" customHeight="1" x14ac:dyDescent="0.25">
      <c r="A2" s="68"/>
      <c r="B2" s="69"/>
      <c r="C2" s="42"/>
      <c r="D2" s="42"/>
      <c r="E2" s="12" t="s">
        <v>50</v>
      </c>
      <c r="F2" s="37" t="str">
        <f>IF(G15="Sin Datos","Sin Datos",PRODUCT(B3,G15))</f>
        <v>Sin Datos</v>
      </c>
      <c r="G2" s="57" t="s">
        <v>73</v>
      </c>
      <c r="H2" s="57"/>
      <c r="I2" s="43" t="str">
        <f>IFERROR(ABS((K11/E15)-1),"Sin Datos")</f>
        <v>Sin Datos</v>
      </c>
      <c r="J2" s="57" t="s">
        <v>75</v>
      </c>
      <c r="K2" s="57"/>
      <c r="L2" s="44" t="str">
        <f>IF(SUM(O11:O15) = 0,"Sin Datos",SUM(O11:O15))</f>
        <v>Sin Datos</v>
      </c>
    </row>
    <row r="3" spans="1:16" ht="18" customHeight="1" x14ac:dyDescent="0.25">
      <c r="A3" s="15" t="s">
        <v>55</v>
      </c>
      <c r="B3" s="34">
        <v>-2.5000000000000001E-4</v>
      </c>
      <c r="C3" s="22"/>
      <c r="D3" s="22"/>
      <c r="E3" s="12" t="s">
        <v>51</v>
      </c>
      <c r="F3" s="37" t="str">
        <f>IF(G15="Sin Datos","Sin Datos",PRODUCT(B4,G15))</f>
        <v>Sin Datos</v>
      </c>
      <c r="G3" s="59" t="s">
        <v>74</v>
      </c>
      <c r="H3" s="59"/>
      <c r="I3" s="45" t="str">
        <f>IFERROR(ABS((I11/E15)-1),"Sin Datos")</f>
        <v>Sin Datos</v>
      </c>
      <c r="J3" s="59" t="s">
        <v>76</v>
      </c>
      <c r="K3" s="59"/>
      <c r="L3" s="46" t="str">
        <f>IFERROR((I3*G15),"Sin Datos")</f>
        <v>Sin Datos</v>
      </c>
    </row>
    <row r="4" spans="1:16" ht="15.75" customHeight="1" x14ac:dyDescent="0.25">
      <c r="A4" s="15" t="s">
        <v>56</v>
      </c>
      <c r="B4" s="34">
        <v>7.5000000000000002E-4</v>
      </c>
      <c r="C4" s="22"/>
      <c r="D4" s="22"/>
      <c r="E4" s="21" t="s">
        <v>57</v>
      </c>
      <c r="F4" s="37" t="str">
        <f>IF(G15="Sin Datos","Sin Datos",PRODUCT(B5,G15))</f>
        <v>Sin Datos</v>
      </c>
      <c r="G4" s="58" t="s">
        <v>58</v>
      </c>
      <c r="H4" s="58"/>
      <c r="I4" s="47" t="str">
        <f>IFERROR(ABS((I2/I3)),"Sin Datos")</f>
        <v>Sin Datos</v>
      </c>
      <c r="J4" s="58" t="s">
        <v>77</v>
      </c>
      <c r="K4" s="58"/>
      <c r="L4" s="47" t="str">
        <f>IFERROR(ABS((L2/L3)),"Sin Datos")</f>
        <v>Sin Datos</v>
      </c>
    </row>
    <row r="5" spans="1:16" x14ac:dyDescent="0.25">
      <c r="A5" s="15" t="s">
        <v>57</v>
      </c>
      <c r="B5" s="34">
        <v>1E-4</v>
      </c>
      <c r="C5" s="22"/>
      <c r="D5" s="22"/>
      <c r="F5" s="20"/>
    </row>
    <row r="6" spans="1:16" x14ac:dyDescent="0.25">
      <c r="A6" s="12" t="s">
        <v>59</v>
      </c>
      <c r="B6" s="36">
        <f>0.01+(B4*2)</f>
        <v>1.15E-2</v>
      </c>
      <c r="C6" s="56">
        <f>(B6*B1)</f>
        <v>0</v>
      </c>
      <c r="D6" s="56"/>
      <c r="E6" s="22"/>
      <c r="F6" s="62" t="str">
        <f>IF(B16="","",IF(E15="Sin Datos","",IF(E15&lt;B16,"LONG!!! BUENA SUERTE!!!","SHORT!!! BUENA SUERTE!!!")))</f>
        <v/>
      </c>
      <c r="G6" s="63"/>
      <c r="H6" s="63"/>
      <c r="I6" s="63"/>
      <c r="J6" s="63"/>
      <c r="K6" s="63"/>
      <c r="L6" s="64"/>
    </row>
    <row r="7" spans="1:16" ht="17.25" customHeight="1" x14ac:dyDescent="0.25">
      <c r="A7" s="12" t="s">
        <v>60</v>
      </c>
      <c r="B7" s="36">
        <f>0.35%+(B5+B4)</f>
        <v>4.3499999999999997E-3</v>
      </c>
      <c r="C7" s="56">
        <f>(B7*B1)</f>
        <v>0</v>
      </c>
      <c r="D7" s="56"/>
      <c r="E7" s="22"/>
      <c r="F7" s="65"/>
      <c r="G7" s="66"/>
      <c r="H7" s="66"/>
      <c r="I7" s="66"/>
      <c r="J7" s="66"/>
      <c r="K7" s="66"/>
      <c r="L7" s="67"/>
    </row>
    <row r="8" spans="1:16" ht="12" customHeight="1" x14ac:dyDescent="0.25">
      <c r="P8" s="77"/>
    </row>
    <row r="9" spans="1:16" ht="18" customHeight="1" x14ac:dyDescent="0.25">
      <c r="A9" s="15" t="s">
        <v>62</v>
      </c>
      <c r="B9" s="39"/>
      <c r="D9" s="72" t="s">
        <v>95</v>
      </c>
      <c r="E9" s="72"/>
      <c r="F9" s="72"/>
      <c r="G9" s="72"/>
      <c r="H9" s="73" t="s">
        <v>52</v>
      </c>
      <c r="I9" s="73"/>
      <c r="J9" s="74" t="s">
        <v>53</v>
      </c>
      <c r="K9" s="74"/>
      <c r="L9" s="74"/>
      <c r="M9" s="74"/>
      <c r="N9" s="74"/>
      <c r="O9" s="74"/>
      <c r="P9" s="77"/>
    </row>
    <row r="10" spans="1:16" ht="21" customHeight="1" x14ac:dyDescent="0.25">
      <c r="A10" s="15" t="s">
        <v>63</v>
      </c>
      <c r="B10" s="39"/>
      <c r="D10" s="72"/>
      <c r="E10" s="72"/>
      <c r="F10" s="72"/>
      <c r="G10" s="72"/>
      <c r="H10" s="73"/>
      <c r="I10" s="73"/>
      <c r="J10" s="74"/>
      <c r="K10" s="74"/>
      <c r="L10" s="74"/>
      <c r="M10" s="74"/>
      <c r="N10" s="74"/>
      <c r="O10" s="74"/>
    </row>
    <row r="11" spans="1:16" ht="21.75" customHeight="1" x14ac:dyDescent="0.25">
      <c r="A11" s="15" t="s">
        <v>64</v>
      </c>
      <c r="B11" s="39"/>
      <c r="D11" s="12" t="s">
        <v>64</v>
      </c>
      <c r="E11" s="18" t="str">
        <f>IF(B11="","Sin Datos",B11)</f>
        <v>Sin Datos</v>
      </c>
      <c r="F11" s="12" t="s">
        <v>78</v>
      </c>
      <c r="G11" s="19" t="str">
        <f>IF(COUNT(B11:B14)=0,"Sin Datos",IF(COUNT(B11:B14)=1,(B9),IF(COUNT(B11:B14)=2,(B9*0.4),IF(COUNT(B11:B14)=3,(B9*0.2),IF(COUNT(B11:B14)=4,(B9*0.1))))))</f>
        <v>Sin Datos</v>
      </c>
      <c r="H11" s="60" t="s">
        <v>54</v>
      </c>
      <c r="I11" s="61" t="str">
        <f>IF(B15="","Sin Datos",B15)</f>
        <v>Sin Datos</v>
      </c>
      <c r="J11" s="79" t="s">
        <v>85</v>
      </c>
      <c r="K11" s="78" t="str">
        <f>IF(B16="","Sin Datos",B16)</f>
        <v>Sin Datos</v>
      </c>
      <c r="L11" s="60" t="s">
        <v>88</v>
      </c>
      <c r="M11" s="75"/>
      <c r="N11" s="60" t="s">
        <v>93</v>
      </c>
      <c r="O11" s="80" t="str">
        <f>IFERROR(((M11*B10)*I2),"Sin Datos")</f>
        <v>Sin Datos</v>
      </c>
    </row>
    <row r="12" spans="1:16" ht="19.5" customHeight="1" x14ac:dyDescent="0.25">
      <c r="A12" s="15" t="s">
        <v>65</v>
      </c>
      <c r="B12" s="39"/>
      <c r="D12" s="12" t="s">
        <v>65</v>
      </c>
      <c r="E12" s="18" t="str">
        <f>IF(B12="","Sin Datos",B12)</f>
        <v>Sin Datos</v>
      </c>
      <c r="F12" s="12" t="s">
        <v>79</v>
      </c>
      <c r="G12" s="19" t="str">
        <f>IF(COUNT(B11:B14)=0,"Sin Datos",IF(COUNT(B11:B14)=1,"Sin Datos",IF(COUNT(B11:B14)=2,(B9*0.6),IF(COUNT(B11:B14)=3,(B9*0.3),IF(COUNT(B11:B14)=4,(B9*0.2))))))</f>
        <v>Sin Datos</v>
      </c>
      <c r="H12" s="60"/>
      <c r="I12" s="61"/>
      <c r="J12" s="79"/>
      <c r="K12" s="78"/>
      <c r="L12" s="60"/>
      <c r="M12" s="75"/>
      <c r="N12" s="60"/>
      <c r="O12" s="80"/>
    </row>
    <row r="13" spans="1:16" ht="21" customHeight="1" x14ac:dyDescent="0.25">
      <c r="A13" s="15" t="s">
        <v>66</v>
      </c>
      <c r="B13" s="39"/>
      <c r="D13" s="12" t="s">
        <v>66</v>
      </c>
      <c r="E13" s="18" t="str">
        <f>IF(B13="","Sin Datos",B13)</f>
        <v>Sin Datos</v>
      </c>
      <c r="F13" s="12" t="s">
        <v>80</v>
      </c>
      <c r="G13" s="19" t="str">
        <f>IF(COUNT(B11:B14)=0,"Sin Datos",IF(COUNT(B11:B14)=1,"Sin Datos",IF(COUNT(B11:B14)=2,"Sin Datos",IF(COUNT(B11:B14)=3,(B9*0.5),IF(COUNT(B11:B14)=4,(B9*0.3))))))</f>
        <v>Sin Datos</v>
      </c>
      <c r="H13" s="60" t="s">
        <v>83</v>
      </c>
      <c r="I13" s="61" t="str">
        <f>IF(I11="Sin Datos","Sin Datos",IF(E15="Sin Datos","Sin Datos",IF(E15&gt;I11,I11-(I11*B3),I11+(I11*B3))))</f>
        <v>Sin Datos</v>
      </c>
      <c r="J13" s="79" t="s">
        <v>86</v>
      </c>
      <c r="K13" s="78" t="str">
        <f>IF(K11="Sin Datos","Sin Datos",IF(E15&lt;K11,(((K11-E15)*0.75)+E15),(((E15-K11)*0.25)+K11)))</f>
        <v>Sin Datos</v>
      </c>
      <c r="L13" s="60" t="s">
        <v>89</v>
      </c>
      <c r="M13" s="75"/>
      <c r="N13" s="60" t="s">
        <v>92</v>
      </c>
      <c r="O13" s="80" t="str">
        <f>IFERROR(((M13*B10)*(I2*0.75)),"Sin Datos")</f>
        <v>Sin Datos</v>
      </c>
    </row>
    <row r="14" spans="1:16" ht="18" customHeight="1" x14ac:dyDescent="0.25">
      <c r="A14" s="15" t="s">
        <v>67</v>
      </c>
      <c r="B14" s="39"/>
      <c r="D14" s="12" t="s">
        <v>67</v>
      </c>
      <c r="E14" s="18" t="str">
        <f>IF(B14="","Sin Datos",B14)</f>
        <v>Sin Datos</v>
      </c>
      <c r="F14" s="12" t="s">
        <v>81</v>
      </c>
      <c r="G14" s="19" t="str">
        <f>IF(COUNT(B11:B14)=0,"Sin Datos",IF(COUNT(B11:B14)=1,"Sin Datos",IF(COUNT(B11:B14)=2,"Sin Datos",IF(COUNT(B11:B14)=3,"Sin Datos",IF(COUNT(B11:B14)=4,(B9*0.4))))))</f>
        <v>Sin Datos</v>
      </c>
      <c r="H14" s="60"/>
      <c r="I14" s="61"/>
      <c r="J14" s="79"/>
      <c r="K14" s="78"/>
      <c r="L14" s="60"/>
      <c r="M14" s="75"/>
      <c r="N14" s="60"/>
      <c r="O14" s="80"/>
    </row>
    <row r="15" spans="1:16" ht="19.5" customHeight="1" x14ac:dyDescent="0.25">
      <c r="A15" s="16" t="s">
        <v>69</v>
      </c>
      <c r="B15" s="40"/>
      <c r="D15" s="60" t="s">
        <v>70</v>
      </c>
      <c r="E15" s="76" t="str">
        <f>IF(COUNT(E11:E14)=0,"Sin Datos",IF(COUNT(E11:E14)=1,(E11),IF(COUNT(E11:E14)=2,((E11*G11)+(E12*G12))/(G11+G12),IF(COUNT(E11:E14)=3,((E11*G11)+(E12*G12)+(E13*G13))/(G11+G12+G13),IF(COUNT(E11:E14)=4,((E11*G11)+(E12*G12)+(E13*G13)+(E14*G14))/(G11+G12+G13+G14))))))</f>
        <v>Sin Datos</v>
      </c>
      <c r="F15" s="60" t="s">
        <v>82</v>
      </c>
      <c r="G15" s="71" t="str">
        <f>IF(B9="","Sin Datos",PRODUCT(B9,B10))</f>
        <v>Sin Datos</v>
      </c>
      <c r="H15" s="60" t="s">
        <v>84</v>
      </c>
      <c r="I15" s="61" t="str">
        <f>IF(I11="Sin Datos","Sin Datos",IF(E15="Sin Datos","Sin Datos",IF(E15&gt;I11,(((E15-I11)*0.25)+I11),(((I11-E15)*0.75)+E15))))</f>
        <v>Sin Datos</v>
      </c>
      <c r="J15" s="79" t="s">
        <v>87</v>
      </c>
      <c r="K15" s="78" t="str">
        <f>IF(K11="Sin Datos","Sin Datos",IF(E15&lt;K11,(((K11-E15)*0.5)+E15),(((E15-K11)*0.5)+K11)))</f>
        <v>Sin Datos</v>
      </c>
      <c r="L15" s="60" t="s">
        <v>90</v>
      </c>
      <c r="M15" s="75"/>
      <c r="N15" s="60" t="s">
        <v>91</v>
      </c>
      <c r="O15" s="80" t="str">
        <f>IFERROR(((M15*B10)*(I2*0.5)),"Sin Datos")</f>
        <v>Sin Datos</v>
      </c>
    </row>
    <row r="16" spans="1:16" x14ac:dyDescent="0.25">
      <c r="A16" s="17" t="s">
        <v>68</v>
      </c>
      <c r="B16" s="38"/>
      <c r="D16" s="60"/>
      <c r="E16" s="76"/>
      <c r="F16" s="60"/>
      <c r="G16" s="71"/>
      <c r="H16" s="60"/>
      <c r="I16" s="61"/>
      <c r="J16" s="79"/>
      <c r="K16" s="78"/>
      <c r="L16" s="60"/>
      <c r="M16" s="75"/>
      <c r="N16" s="60"/>
      <c r="O16" s="80"/>
    </row>
    <row r="17" spans="1:14" x14ac:dyDescent="0.25">
      <c r="A17" s="23" t="s">
        <v>71</v>
      </c>
      <c r="B17" s="41" t="str">
        <f>IF(E15="Sin Datos","Sin Datos",IF(I11="Sin Datos","Sin Datos",IF(E15&gt;I11,((E15*B4)+E15),E15-(E15*B4))))</f>
        <v>Sin Datos</v>
      </c>
    </row>
    <row r="18" spans="1:14" x14ac:dyDescent="0.25">
      <c r="A18" s="15" t="s">
        <v>70</v>
      </c>
      <c r="B18" s="35" t="str">
        <f>IF(E15="Sin Datos","Sin Datos",E15)</f>
        <v>Sin Datos</v>
      </c>
      <c r="D18" s="49" t="s">
        <v>94</v>
      </c>
      <c r="E18" s="50"/>
      <c r="F18" s="51"/>
      <c r="G18" s="52" t="s">
        <v>97</v>
      </c>
      <c r="H18" s="53"/>
      <c r="I18" s="53"/>
      <c r="J18" s="53"/>
      <c r="K18" s="53"/>
      <c r="L18" s="53"/>
      <c r="M18" s="53"/>
      <c r="N18" s="48"/>
    </row>
    <row r="19" spans="1:14" x14ac:dyDescent="0.25">
      <c r="A19" s="23" t="s">
        <v>72</v>
      </c>
      <c r="B19" s="41" t="str">
        <f>IF(E15="Sin Datos","Sin Datos",IF(I11="Sin Datos","Sin Datos",IF(E15&gt;I11,(E15*B3)+E15,ABS(E15*B3)+E15)))</f>
        <v>Sin Datos</v>
      </c>
      <c r="G19" s="54"/>
      <c r="H19" s="55"/>
      <c r="I19" s="55"/>
      <c r="J19" s="55"/>
      <c r="K19" s="55"/>
      <c r="L19" s="55"/>
      <c r="M19" s="55"/>
    </row>
  </sheetData>
  <mergeCells count="46">
    <mergeCell ref="P8:P9"/>
    <mergeCell ref="L13:L14"/>
    <mergeCell ref="K13:K14"/>
    <mergeCell ref="J13:J14"/>
    <mergeCell ref="J15:J16"/>
    <mergeCell ref="K15:K16"/>
    <mergeCell ref="L15:L16"/>
    <mergeCell ref="O11:O12"/>
    <mergeCell ref="O13:O14"/>
    <mergeCell ref="N13:N14"/>
    <mergeCell ref="N15:N16"/>
    <mergeCell ref="O15:O16"/>
    <mergeCell ref="M15:M16"/>
    <mergeCell ref="M13:M14"/>
    <mergeCell ref="J11:J12"/>
    <mergeCell ref="K11:K12"/>
    <mergeCell ref="A1:A2"/>
    <mergeCell ref="B1:B2"/>
    <mergeCell ref="G3:H3"/>
    <mergeCell ref="E1:L1"/>
    <mergeCell ref="G15:G16"/>
    <mergeCell ref="F15:F16"/>
    <mergeCell ref="D9:G10"/>
    <mergeCell ref="H9:I10"/>
    <mergeCell ref="J9:O10"/>
    <mergeCell ref="L11:L12"/>
    <mergeCell ref="M11:M12"/>
    <mergeCell ref="N11:N12"/>
    <mergeCell ref="D15:D16"/>
    <mergeCell ref="E15:E16"/>
    <mergeCell ref="H11:H12"/>
    <mergeCell ref="I11:I12"/>
    <mergeCell ref="D18:F18"/>
    <mergeCell ref="G18:M19"/>
    <mergeCell ref="C6:D6"/>
    <mergeCell ref="C7:D7"/>
    <mergeCell ref="G2:H2"/>
    <mergeCell ref="G4:H4"/>
    <mergeCell ref="J2:K2"/>
    <mergeCell ref="J3:K3"/>
    <mergeCell ref="J4:K4"/>
    <mergeCell ref="H13:H14"/>
    <mergeCell ref="I13:I14"/>
    <mergeCell ref="H15:H16"/>
    <mergeCell ref="I15:I16"/>
    <mergeCell ref="F6:L7"/>
  </mergeCells>
  <conditionalFormatting sqref="I11:I12">
    <cfRule type="expression" dxfId="334" priority="4">
      <formula>0</formula>
    </cfRule>
  </conditionalFormatting>
  <conditionalFormatting sqref="F6:L7">
    <cfRule type="beginsWith" dxfId="333" priority="2" operator="beginsWith" text="LONG">
      <formula>LEFT(F6,LEN("LONG"))="LONG"</formula>
    </cfRule>
    <cfRule type="beginsWith" dxfId="332" priority="1" operator="beginsWith" text="SHORT">
      <formula>LEFT(F6,LEN("SHORT"))="SHORT"</formula>
    </cfRule>
  </conditionalFormatting>
  <pageMargins left="0.7" right="0.7" top="0.75" bottom="0.75" header="0.3" footer="0.3"/>
  <pageSetup paperSize="9" orientation="portrait" horizontalDpi="300" verticalDpi="300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23"/>
  <sheetViews>
    <sheetView topLeftCell="A10" workbookViewId="0">
      <selection activeCell="A20" sqref="A20"/>
    </sheetView>
  </sheetViews>
  <sheetFormatPr defaultColWidth="11.42578125" defaultRowHeight="15.75" x14ac:dyDescent="0.25"/>
  <cols>
    <col min="1" max="1" width="38.7109375" style="31" customWidth="1"/>
    <col min="2" max="2" width="13.140625" style="31" customWidth="1"/>
    <col min="3" max="3" width="5.85546875" style="31" customWidth="1"/>
    <col min="4" max="4" width="13.7109375" style="31" customWidth="1"/>
    <col min="5" max="5" width="11.42578125" style="31"/>
    <col min="6" max="6" width="12" style="31" customWidth="1"/>
    <col min="7" max="7" width="11.42578125" style="31" customWidth="1"/>
    <col min="8" max="8" width="11.28515625" style="31" customWidth="1"/>
    <col min="9" max="9" width="11.42578125" style="31"/>
    <col min="10" max="10" width="23.85546875" style="31" customWidth="1"/>
    <col min="11" max="11" width="6.85546875" style="31" customWidth="1"/>
    <col min="12" max="13" width="12.7109375" style="31" customWidth="1"/>
    <col min="14" max="16384" width="11.42578125" style="31"/>
  </cols>
  <sheetData>
    <row r="1" spans="1:10" ht="33" customHeight="1" x14ac:dyDescent="0.25">
      <c r="A1" s="9" t="s">
        <v>98</v>
      </c>
      <c r="B1" s="10"/>
      <c r="D1" s="25" t="s">
        <v>117</v>
      </c>
      <c r="E1" s="25" t="s">
        <v>118</v>
      </c>
      <c r="F1" s="25" t="s">
        <v>121</v>
      </c>
      <c r="G1" s="25" t="s">
        <v>120</v>
      </c>
      <c r="H1" s="25" t="s">
        <v>7</v>
      </c>
      <c r="I1" s="25" t="s">
        <v>8</v>
      </c>
      <c r="J1" s="25" t="s">
        <v>119</v>
      </c>
    </row>
    <row r="2" spans="1:10" x14ac:dyDescent="0.25">
      <c r="A2" s="12" t="s">
        <v>99</v>
      </c>
      <c r="B2" s="3">
        <f>SUM(B1,'Febrero-20'!B3+'Marzo-20'!B3)</f>
        <v>0</v>
      </c>
      <c r="D2" s="26" t="s">
        <v>4</v>
      </c>
      <c r="E2" s="26">
        <f>SUM('Febrero-20'!N2,'Marzo-20'!N2)</f>
        <v>0</v>
      </c>
      <c r="F2" s="27" t="str">
        <f>IFERROR(AVERAGE('Febrero-20'!O2,'Marzo-20'!O2),"Sin Datos")</f>
        <v>Sin Datos</v>
      </c>
      <c r="G2" s="27" t="str">
        <f>IFERROR(AVERAGE('Febrero-20'!P2,'Marzo-20'!P2),"Sin Datos")</f>
        <v>Sin Datos</v>
      </c>
      <c r="H2" s="27" t="str">
        <f>IFERROR(AVERAGE('Febrero-20'!Q2,'Marzo-20'!Q2),"Sin Datos")</f>
        <v>Sin Datos</v>
      </c>
      <c r="I2" s="27" t="str">
        <f>IFERROR(AVERAGE('Febrero-20'!R2,'Marzo-20'!R2),"Sin Datos")</f>
        <v>Sin Datos</v>
      </c>
      <c r="J2" s="27" t="str">
        <f>IFERROR(AVERAGE('Febrero-20'!S2,'Marzo-20'!S2),"Sin Datos")</f>
        <v>Sin Datos</v>
      </c>
    </row>
    <row r="3" spans="1:10" x14ac:dyDescent="0.25">
      <c r="A3" s="12" t="s">
        <v>128</v>
      </c>
      <c r="B3" s="3">
        <f>SUM('Febrero-20'!B3,'Marzo-20'!B3)</f>
        <v>0</v>
      </c>
      <c r="D3" s="26" t="s">
        <v>22</v>
      </c>
      <c r="E3" s="26">
        <f>SUM('Febrero-20'!N3,'Marzo-20'!N3)</f>
        <v>0</v>
      </c>
      <c r="F3" s="27" t="str">
        <f>IFERROR(AVERAGE('Febrero-20'!O3,'Marzo-20'!O3),"Sin Datos")</f>
        <v>Sin Datos</v>
      </c>
      <c r="G3" s="27" t="str">
        <f>IFERROR(AVERAGE('Febrero-20'!P3,'Marzo-20'!P3),"Sin Datos")</f>
        <v>Sin Datos</v>
      </c>
      <c r="H3" s="27" t="str">
        <f>IFERROR(AVERAGE('Febrero-20'!Q3,'Marzo-20'!Q3),"Sin Datos")</f>
        <v>Sin Datos</v>
      </c>
      <c r="I3" s="27" t="str">
        <f>IFERROR(AVERAGE('Febrero-20'!R3,'Marzo-20'!R3),"Sin Datos")</f>
        <v>Sin Datos</v>
      </c>
      <c r="J3" s="27" t="str">
        <f>IFERROR(AVERAGE('Febrero-20'!S3,'Marzo-20'!S3),"Sin Datos")</f>
        <v>Sin Datos</v>
      </c>
    </row>
    <row r="4" spans="1:10" x14ac:dyDescent="0.25">
      <c r="A4" s="12" t="s">
        <v>129</v>
      </c>
      <c r="B4" s="3">
        <f>SUM('Febrero-20'!B4,'Marzo-20'!B4)</f>
        <v>0</v>
      </c>
      <c r="D4" s="26" t="s">
        <v>23</v>
      </c>
      <c r="E4" s="26">
        <f>SUM('Febrero-20'!N4,'Marzo-20'!N4)</f>
        <v>0</v>
      </c>
      <c r="F4" s="27" t="str">
        <f>IFERROR(AVERAGE('Febrero-20'!O4,'Marzo-20'!O4),"Sin Datos")</f>
        <v>Sin Datos</v>
      </c>
      <c r="G4" s="27" t="str">
        <f>IFERROR(AVERAGE('Febrero-20'!P4,'Marzo-20'!P4),"Sin Datos")</f>
        <v>Sin Datos</v>
      </c>
      <c r="H4" s="27" t="str">
        <f>IFERROR(AVERAGE('Febrero-20'!Q4,'Marzo-20'!Q4),"Sin Datos")</f>
        <v>Sin Datos</v>
      </c>
      <c r="I4" s="27" t="str">
        <f>IFERROR(AVERAGE('Febrero-20'!R4,'Marzo-20'!R4),"Sin Datos")</f>
        <v>Sin Datos</v>
      </c>
      <c r="J4" s="27" t="str">
        <f>IFERROR(AVERAGE('Febrero-20'!S4,'Marzo-20'!S4),"Sin Datos")</f>
        <v>Sin Datos</v>
      </c>
    </row>
    <row r="5" spans="1:10" x14ac:dyDescent="0.25">
      <c r="A5" s="12" t="s">
        <v>130</v>
      </c>
      <c r="B5" s="3">
        <f>SUM('Febrero-20'!B5,'Marzo-20'!B5)</f>
        <v>0</v>
      </c>
      <c r="D5" s="2" t="s">
        <v>24</v>
      </c>
      <c r="E5" s="26">
        <f>SUM('Febrero-20'!N5,'Marzo-20'!N5)</f>
        <v>0</v>
      </c>
      <c r="F5" s="27" t="str">
        <f>IFERROR(AVERAGE('Febrero-20'!O5,'Marzo-20'!O5),"Sin Datos")</f>
        <v>Sin Datos</v>
      </c>
      <c r="G5" s="27" t="str">
        <f>IFERROR(AVERAGE('Febrero-20'!P5,'Marzo-20'!P5),"Sin Datos")</f>
        <v>Sin Datos</v>
      </c>
      <c r="H5" s="27" t="str">
        <f>IFERROR(AVERAGE('Febrero-20'!Q5,'Marzo-20'!Q5),"Sin Datos")</f>
        <v>Sin Datos</v>
      </c>
      <c r="I5" s="27" t="str">
        <f>IFERROR(AVERAGE('Febrero-20'!R5,'Marzo-20'!R5),"Sin Datos")</f>
        <v>Sin Datos</v>
      </c>
      <c r="J5" s="27" t="str">
        <f>IFERROR(AVERAGE('Febrero-20'!S5,'Marzo-20'!S5),"Sin Datos")</f>
        <v>Sin Datos</v>
      </c>
    </row>
    <row r="6" spans="1:10" x14ac:dyDescent="0.25">
      <c r="A6" s="12" t="s">
        <v>131</v>
      </c>
      <c r="B6" s="3">
        <f>SUM('Febrero-20'!B6,'Marzo-20'!B6)</f>
        <v>0</v>
      </c>
      <c r="D6" s="2" t="s">
        <v>33</v>
      </c>
      <c r="E6" s="26">
        <f>SUM('Febrero-20'!N6,'Marzo-20'!N6)</f>
        <v>0</v>
      </c>
      <c r="F6" s="27" t="str">
        <f>IFERROR(AVERAGE('Febrero-20'!O6,'Marzo-20'!O6),"Sin Datos")</f>
        <v>Sin Datos</v>
      </c>
      <c r="G6" s="27" t="str">
        <f>IFERROR(AVERAGE('Febrero-20'!P6,'Marzo-20'!P6),"Sin Datos")</f>
        <v>Sin Datos</v>
      </c>
      <c r="H6" s="27" t="str">
        <f>IFERROR(AVERAGE('Febrero-20'!Q6,'Marzo-20'!Q6),"Sin Datos")</f>
        <v>Sin Datos</v>
      </c>
      <c r="I6" s="27" t="str">
        <f>IFERROR(AVERAGE('Febrero-20'!R6,'Marzo-20'!R6),"Sin Datos")</f>
        <v>Sin Datos</v>
      </c>
      <c r="J6" s="27" t="str">
        <f>IFERROR(AVERAGE('Febrero-20'!S6,'Marzo-20'!S6),"Sin Datos")</f>
        <v>Sin Datos</v>
      </c>
    </row>
    <row r="7" spans="1:10" x14ac:dyDescent="0.25">
      <c r="A7" s="11" t="s">
        <v>109</v>
      </c>
      <c r="B7" s="3">
        <f>AVERAGE('Febrero-20'!B3,'Marzo-20'!B3)</f>
        <v>0</v>
      </c>
      <c r="D7" s="26" t="s">
        <v>19</v>
      </c>
      <c r="E7" s="26">
        <f>SUM('Febrero-20'!N7,'Marzo-20'!N7)</f>
        <v>0</v>
      </c>
      <c r="F7" s="27" t="str">
        <f>IFERROR(AVERAGE('Febrero-20'!O7,'Marzo-20'!O7),"Sin Datos")</f>
        <v>Sin Datos</v>
      </c>
      <c r="G7" s="27" t="str">
        <f>IFERROR(AVERAGE('Febrero-20'!P7,'Marzo-20'!P7),"Sin Datos")</f>
        <v>Sin Datos</v>
      </c>
      <c r="H7" s="27" t="str">
        <f>IFERROR(AVERAGE('Febrero-20'!Q7,'Marzo-20'!Q7),"Sin Datos")</f>
        <v>Sin Datos</v>
      </c>
      <c r="I7" s="27" t="str">
        <f>IFERROR(AVERAGE('Febrero-20'!R7,'Marzo-20'!R7),"Sin Datos")</f>
        <v>Sin Datos</v>
      </c>
      <c r="J7" s="27" t="str">
        <f>IFERROR(AVERAGE('Febrero-20'!S7,'Marzo-20'!S7),"Sin Datos")</f>
        <v>Sin Datos</v>
      </c>
    </row>
    <row r="8" spans="1:10" x14ac:dyDescent="0.25">
      <c r="A8" s="11" t="s">
        <v>100</v>
      </c>
      <c r="B8" s="3">
        <f>AVERAGE('Febrero-20'!B4,'Marzo-20'!B4)</f>
        <v>0</v>
      </c>
      <c r="D8" s="2" t="s">
        <v>18</v>
      </c>
      <c r="E8" s="26">
        <f>SUM('Febrero-20'!N8,'Marzo-20'!N8)</f>
        <v>0</v>
      </c>
      <c r="F8" s="27" t="str">
        <f>IFERROR(AVERAGE('Febrero-20'!O8,'Marzo-20'!O8),"Sin Datos")</f>
        <v>Sin Datos</v>
      </c>
      <c r="G8" s="27" t="str">
        <f>IFERROR(AVERAGE('Febrero-20'!P8,'Marzo-20'!P8),"Sin Datos")</f>
        <v>Sin Datos</v>
      </c>
      <c r="H8" s="27" t="str">
        <f>IFERROR(AVERAGE('Febrero-20'!Q8,'Marzo-20'!Q8),"Sin Datos")</f>
        <v>Sin Datos</v>
      </c>
      <c r="I8" s="27" t="str">
        <f>IFERROR(AVERAGE('Febrero-20'!R8,'Marzo-20'!R8),"Sin Datos")</f>
        <v>Sin Datos</v>
      </c>
      <c r="J8" s="27" t="str">
        <f>IFERROR(AVERAGE('Febrero-20'!S8,'Marzo-20'!S8),"Sin Datos")</f>
        <v>Sin Datos</v>
      </c>
    </row>
    <row r="9" spans="1:10" x14ac:dyDescent="0.25">
      <c r="A9" s="11" t="s">
        <v>101</v>
      </c>
      <c r="B9" s="3">
        <f>AVERAGE('Febrero-20'!B5,'Marzo-20'!B5)</f>
        <v>0</v>
      </c>
      <c r="D9" s="26" t="s">
        <v>25</v>
      </c>
      <c r="E9" s="26">
        <f>SUM('Febrero-20'!N9,'Marzo-20'!N9)</f>
        <v>0</v>
      </c>
      <c r="F9" s="27" t="str">
        <f>IFERROR(AVERAGE('Febrero-20'!O9,'Marzo-20'!O9),"Sin Datos")</f>
        <v>Sin Datos</v>
      </c>
      <c r="G9" s="27" t="str">
        <f>IFERROR(AVERAGE('Febrero-20'!P9,'Marzo-20'!P9),"Sin Datos")</f>
        <v>Sin Datos</v>
      </c>
      <c r="H9" s="27" t="str">
        <f>IFERROR(AVERAGE('Febrero-20'!Q9,'Marzo-20'!Q9),"Sin Datos")</f>
        <v>Sin Datos</v>
      </c>
      <c r="I9" s="27" t="str">
        <f>IFERROR(AVERAGE('Febrero-20'!R9,'Marzo-20'!R9),"Sin Datos")</f>
        <v>Sin Datos</v>
      </c>
      <c r="J9" s="27" t="str">
        <f>IFERROR(AVERAGE('Febrero-20'!S9,'Marzo-20'!S9),"Sin Datos")</f>
        <v>Sin Datos</v>
      </c>
    </row>
    <row r="10" spans="1:10" x14ac:dyDescent="0.25">
      <c r="A10" s="11" t="s">
        <v>102</v>
      </c>
      <c r="B10" s="3">
        <f>AVERAGE('Febrero-20'!B6,'Marzo-20'!B6)</f>
        <v>0</v>
      </c>
      <c r="D10" s="26" t="s">
        <v>34</v>
      </c>
      <c r="E10" s="26">
        <f>SUM('Febrero-20'!N10,'Marzo-20'!N10)</f>
        <v>0</v>
      </c>
      <c r="F10" s="27" t="str">
        <f>IFERROR(AVERAGE('Febrero-20'!O10,'Marzo-20'!O10),"Sin Datos")</f>
        <v>Sin Datos</v>
      </c>
      <c r="G10" s="27" t="str">
        <f>IFERROR(AVERAGE('Febrero-20'!P10,'Marzo-20'!P10),"Sin Datos")</f>
        <v>Sin Datos</v>
      </c>
      <c r="H10" s="27" t="str">
        <f>IFERROR(AVERAGE('Febrero-20'!Q10,'Marzo-20'!Q10),"Sin Datos")</f>
        <v>Sin Datos</v>
      </c>
      <c r="I10" s="27" t="str">
        <f>IFERROR(AVERAGE('Febrero-20'!R10,'Marzo-20'!R10),"Sin Datos")</f>
        <v>Sin Datos</v>
      </c>
      <c r="J10" s="27" t="str">
        <f>IFERROR(AVERAGE('Febrero-20'!S10,'Marzo-20'!S10),"Sin Datos")</f>
        <v>Sin Datos</v>
      </c>
    </row>
    <row r="11" spans="1:10" ht="18.75" x14ac:dyDescent="0.25">
      <c r="A11" s="11" t="s">
        <v>103</v>
      </c>
      <c r="B11" s="3">
        <f>AVERAGE('Febrero-20'!B7,'Marzo-20'!B7)</f>
        <v>0</v>
      </c>
      <c r="D11" s="28" t="s">
        <v>6</v>
      </c>
      <c r="E11" s="32">
        <f>SUM('Febrero-20'!N11,'Marzo-20'!N11)</f>
        <v>0</v>
      </c>
      <c r="F11" s="27" t="str">
        <f>IFERROR(AVERAGE('Febrero-20'!O11,'Marzo-20'!O11),"Sin Datos")</f>
        <v>Sin Datos</v>
      </c>
      <c r="G11" s="27" t="str">
        <f>IFERROR(AVERAGE('Febrero-20'!P11,'Marzo-20'!P11),"Sin Datos")</f>
        <v>Sin Datos</v>
      </c>
      <c r="H11" s="27" t="str">
        <f>IFERROR(AVERAGE('Febrero-20'!Q11,'Marzo-20'!Q11),"Sin Datos")</f>
        <v>Sin Datos</v>
      </c>
      <c r="I11" s="27" t="str">
        <f>IFERROR(AVERAGE('Febrero-20'!R11,'Marzo-20'!R11),"Sin Datos")</f>
        <v>Sin Datos</v>
      </c>
      <c r="J11" s="27" t="str">
        <f>IFERROR(AVERAGE('Febrero-20'!S11,'Marzo-20'!S11),"Sin Datos")</f>
        <v>Sin Datos</v>
      </c>
    </row>
    <row r="12" spans="1:10" x14ac:dyDescent="0.25">
      <c r="A12" s="12" t="s">
        <v>104</v>
      </c>
      <c r="B12" s="2">
        <f>E11</f>
        <v>0</v>
      </c>
    </row>
    <row r="13" spans="1:10" ht="18.75" x14ac:dyDescent="0.25">
      <c r="A13" s="12" t="s">
        <v>105</v>
      </c>
      <c r="B13" s="2">
        <f>SUM(E2:E6)</f>
        <v>0</v>
      </c>
      <c r="D13" s="81" t="s">
        <v>123</v>
      </c>
      <c r="E13" s="81"/>
      <c r="F13" s="81"/>
      <c r="G13" s="81"/>
      <c r="H13" s="81"/>
      <c r="I13" s="81"/>
      <c r="J13" s="81"/>
    </row>
    <row r="14" spans="1:10" ht="18.75" x14ac:dyDescent="0.25">
      <c r="A14" s="12" t="s">
        <v>106</v>
      </c>
      <c r="B14" s="2">
        <f>SUM(E7:E9)</f>
        <v>0</v>
      </c>
      <c r="D14" s="82" t="s">
        <v>122</v>
      </c>
      <c r="E14" s="82"/>
      <c r="F14" s="82"/>
      <c r="G14" s="82"/>
      <c r="H14" s="82"/>
      <c r="I14" s="82"/>
      <c r="J14" s="82"/>
    </row>
    <row r="15" spans="1:10" x14ac:dyDescent="0.25">
      <c r="A15" s="12" t="s">
        <v>107</v>
      </c>
      <c r="B15" s="2">
        <f>E10</f>
        <v>0</v>
      </c>
    </row>
    <row r="16" spans="1:10" x14ac:dyDescent="0.25">
      <c r="A16" s="11" t="s">
        <v>108</v>
      </c>
      <c r="B16" s="2">
        <f>AVERAGE('Febrero-20'!B9,'Marzo-20'!B9)</f>
        <v>0</v>
      </c>
    </row>
    <row r="17" spans="1:5" x14ac:dyDescent="0.25">
      <c r="A17" s="11" t="s">
        <v>110</v>
      </c>
      <c r="B17" s="2">
        <f>AVERAGE('Febrero-20'!B10,'Marzo-20'!B10)</f>
        <v>0</v>
      </c>
      <c r="C17" s="33"/>
      <c r="D17" s="33"/>
      <c r="E17" s="33"/>
    </row>
    <row r="18" spans="1:5" x14ac:dyDescent="0.25">
      <c r="A18" s="11" t="s">
        <v>111</v>
      </c>
      <c r="B18" s="2">
        <f>AVERAGE('Febrero-20'!B11,'Marzo-20'!B11)</f>
        <v>0</v>
      </c>
    </row>
    <row r="19" spans="1:5" x14ac:dyDescent="0.25">
      <c r="A19" s="11" t="s">
        <v>112</v>
      </c>
      <c r="B19" s="2">
        <f>AVERAGE('Febrero-20'!B12,'Marzo-20'!B12)</f>
        <v>0</v>
      </c>
    </row>
    <row r="20" spans="1:5" x14ac:dyDescent="0.25">
      <c r="A20" s="12" t="s">
        <v>113</v>
      </c>
      <c r="B20" s="4" t="str">
        <f>J11</f>
        <v>Sin Datos</v>
      </c>
    </row>
    <row r="21" spans="1:5" x14ac:dyDescent="0.25">
      <c r="A21" s="12" t="s">
        <v>114</v>
      </c>
      <c r="B21" s="4" t="str">
        <f>IFERROR(AVERAGE(J2:J6),"Sin Datos")</f>
        <v>Sin Datos</v>
      </c>
    </row>
    <row r="22" spans="1:5" x14ac:dyDescent="0.25">
      <c r="A22" s="12" t="s">
        <v>115</v>
      </c>
      <c r="B22" s="4" t="str">
        <f>IFERROR(AVERAGE(J7:J9),"Sin Datos")</f>
        <v>Sin Datos</v>
      </c>
    </row>
    <row r="23" spans="1:5" x14ac:dyDescent="0.25">
      <c r="A23" s="12" t="s">
        <v>116</v>
      </c>
      <c r="B23" s="4" t="str">
        <f>J10</f>
        <v>Sin Datos</v>
      </c>
    </row>
  </sheetData>
  <mergeCells count="2">
    <mergeCell ref="D13:J13"/>
    <mergeCell ref="D14:J14"/>
  </mergeCells>
  <conditionalFormatting sqref="F2:J11">
    <cfRule type="cellIs" dxfId="331" priority="11" operator="between">
      <formula>0</formula>
      <formula>0.49</formula>
    </cfRule>
    <cfRule type="cellIs" dxfId="330" priority="12" operator="between">
      <formula>0.5</formula>
      <formula>0.65</formula>
    </cfRule>
    <cfRule type="cellIs" dxfId="329" priority="13" operator="between">
      <formula>0.66</formula>
      <formula>1</formula>
    </cfRule>
  </conditionalFormatting>
  <conditionalFormatting sqref="B20:B23">
    <cfRule type="cellIs" dxfId="328" priority="5" operator="between">
      <formula>0</formula>
      <formula>0.49</formula>
    </cfRule>
    <cfRule type="cellIs" dxfId="327" priority="6" operator="between">
      <formula>0.5</formula>
      <formula>0.65</formula>
    </cfRule>
    <cfRule type="cellIs" dxfId="326" priority="7" operator="between">
      <formula>0.66</formula>
      <formula>1</formula>
    </cfRule>
  </conditionalFormatting>
  <conditionalFormatting sqref="B2:B11">
    <cfRule type="cellIs" dxfId="325" priority="1" operator="lessThan">
      <formula>0</formula>
    </cfRule>
    <cfRule type="cellIs" dxfId="324" priority="2" operator="greaterThan">
      <formula>0</formula>
    </cfRule>
  </conditionalFormatting>
  <pageMargins left="0.7" right="0.7" top="0.75" bottom="0.75" header="0.3" footer="0.3"/>
  <pageSetup paperSize="9" orientation="portrait" r:id="rId1"/>
  <picture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AH410"/>
  <sheetViews>
    <sheetView tabSelected="1" zoomScaleNormal="100" workbookViewId="0">
      <selection activeCell="A24" sqref="A24"/>
    </sheetView>
  </sheetViews>
  <sheetFormatPr defaultColWidth="11.42578125" defaultRowHeight="15" x14ac:dyDescent="0.25"/>
  <cols>
    <col min="1" max="1" width="35.5703125" style="24" customWidth="1"/>
    <col min="2" max="2" width="12.28515625" style="24" bestFit="1" customWidth="1"/>
    <col min="3" max="3" width="4.42578125" style="24" customWidth="1"/>
    <col min="4" max="4" width="9.7109375" style="24" customWidth="1"/>
    <col min="5" max="5" width="9" style="24" customWidth="1"/>
    <col min="6" max="6" width="13" style="24" customWidth="1"/>
    <col min="7" max="7" width="10.7109375" style="24" customWidth="1"/>
    <col min="8" max="8" width="10.5703125" style="24" customWidth="1"/>
    <col min="9" max="9" width="12.5703125" style="24" customWidth="1"/>
    <col min="10" max="11" width="12.140625" style="24" customWidth="1"/>
    <col min="12" max="12" width="5" style="24" customWidth="1"/>
    <col min="13" max="13" width="19.85546875" style="24" customWidth="1"/>
    <col min="14" max="14" width="14.42578125" style="24" customWidth="1"/>
    <col min="15" max="15" width="13.28515625" style="24" customWidth="1"/>
    <col min="16" max="16" width="12" style="24" customWidth="1"/>
    <col min="17" max="17" width="13.42578125" style="24" customWidth="1"/>
    <col min="18" max="18" width="12" style="24" customWidth="1"/>
    <col min="19" max="19" width="18.5703125" style="24" customWidth="1"/>
    <col min="20" max="20" width="12.28515625" style="24" customWidth="1"/>
    <col min="21" max="21" width="12.42578125" style="24" customWidth="1"/>
    <col min="22" max="22" width="20.85546875" style="24" customWidth="1"/>
    <col min="23" max="16384" width="11.42578125" style="24"/>
  </cols>
  <sheetData>
    <row r="1" spans="1:19" ht="36" customHeight="1" x14ac:dyDescent="0.25">
      <c r="A1" s="7" t="s">
        <v>98</v>
      </c>
      <c r="B1" s="8"/>
      <c r="D1" s="13" t="s">
        <v>15</v>
      </c>
      <c r="E1" s="13" t="s">
        <v>124</v>
      </c>
      <c r="F1" s="13" t="s">
        <v>117</v>
      </c>
      <c r="G1" s="13" t="s">
        <v>125</v>
      </c>
      <c r="H1" s="13" t="s">
        <v>126</v>
      </c>
      <c r="I1" s="13" t="s">
        <v>127</v>
      </c>
      <c r="J1" s="13" t="s">
        <v>14</v>
      </c>
      <c r="K1" s="13" t="s">
        <v>44</v>
      </c>
      <c r="M1" s="25" t="s">
        <v>117</v>
      </c>
      <c r="N1" s="25" t="s">
        <v>118</v>
      </c>
      <c r="O1" s="25" t="s">
        <v>121</v>
      </c>
      <c r="P1" s="25" t="s">
        <v>120</v>
      </c>
      <c r="Q1" s="25" t="s">
        <v>7</v>
      </c>
      <c r="R1" s="25" t="s">
        <v>8</v>
      </c>
      <c r="S1" s="13" t="s">
        <v>119</v>
      </c>
    </row>
    <row r="2" spans="1:19" ht="15.75" x14ac:dyDescent="0.25">
      <c r="A2" s="2" t="s">
        <v>99</v>
      </c>
      <c r="B2" s="3">
        <f>SUM(B1,(SUM(J2:J999)))</f>
        <v>0</v>
      </c>
      <c r="D2" s="2">
        <v>1</v>
      </c>
      <c r="E2" s="6"/>
      <c r="F2" s="2"/>
      <c r="G2" s="2"/>
      <c r="H2" s="2"/>
      <c r="I2" s="2" t="str">
        <f>IF(J2="","",IF(J2&gt;3,"Ganado",IF(J2&lt;-3,"Perdido","Break Even")))</f>
        <v/>
      </c>
      <c r="J2" s="3"/>
      <c r="K2" s="5" t="str">
        <f>IFERROR(Tabla3[[#This Row],[USD]]/$B$1,"")</f>
        <v/>
      </c>
      <c r="M2" s="26" t="s">
        <v>4</v>
      </c>
      <c r="N2" s="26">
        <f>COUNTIFS(F2:F999,"100x")</f>
        <v>0</v>
      </c>
      <c r="O2" s="27" t="str">
        <f>IFERROR((COUNTIFS(F2:F999,"100x",G2:G999,"Ida",I2:I999,"Ganado")+(COUNTIFS(F2:F999,"100x",G2:G999,"Ida",I2:I999,"Break Even")))/(COUNTIFS(F2:F999,"100x",G2:G999,"Ida")),"Sin Datos")</f>
        <v>Sin Datos</v>
      </c>
      <c r="P2" s="27" t="str">
        <f>IFERROR((COUNTIFS(F2:F999,"100x",G2:G999,"Vuelta",I2:I999,"Ganado")+(COUNTIFS(F2:F999,"100x",G2:G999,"Vuelta",I2:I999,"Break Even")))/(COUNTIFS(F2:F999,"100x",G2:G999,"Vuelta")),"Sin Datos")</f>
        <v>Sin Datos</v>
      </c>
      <c r="Q2" s="27" t="str">
        <f>IFERROR((COUNTIFS(F2:F999,"100x",H2:H999,"Long",I2:I999,"Ganado")+(COUNTIFS(F2:F999,"100x",H2:H999,"Long",I2:I999,"Break Even")))/(COUNTIFS(F2:F999,"100x",H2:H999,"Long")),"Sin Datos")</f>
        <v>Sin Datos</v>
      </c>
      <c r="R2" s="27" t="str">
        <f>IFERROR((COUNTIFS(F2:F999,"100x",H2:H999,"Short",I2:I999,"Ganado")+(COUNTIFS(F2:F999,"100x",H2:H999,"Short",I2:I999,"Break Even")))/(COUNTIFS(F2:F999,"100x",H2:H999,"Short")),"Sin Datos")</f>
        <v>Sin Datos</v>
      </c>
      <c r="S2" s="4" t="str">
        <f>IFERROR((COUNTIFS(F2:F999,"100x",I2:I999,"Ganado")+(COUNTIFS(F2:F999,"100x",I2:I999,"Break Even")))/(N2),"Sin Datos")</f>
        <v>Sin Datos</v>
      </c>
    </row>
    <row r="3" spans="1:19" ht="15.75" x14ac:dyDescent="0.25">
      <c r="A3" s="2" t="s">
        <v>128</v>
      </c>
      <c r="B3" s="3">
        <f>SUM(J2:J999)</f>
        <v>0</v>
      </c>
      <c r="D3" s="2">
        <v>2</v>
      </c>
      <c r="E3" s="6"/>
      <c r="F3" s="2"/>
      <c r="G3" s="2"/>
      <c r="H3" s="2"/>
      <c r="I3" s="2" t="str">
        <f t="shared" ref="I3:I66" si="0">IF(J3="","",IF(J3&gt;3,"Ganado",IF(J3&lt;-3,"Perdido","Break Even")))</f>
        <v/>
      </c>
      <c r="J3" s="3"/>
      <c r="K3" s="5" t="str">
        <f>IFERROR(Tabla3[[#This Row],[USD]]/$B$1,"")</f>
        <v/>
      </c>
      <c r="M3" s="26" t="s">
        <v>22</v>
      </c>
      <c r="N3" s="2">
        <f>COUNTIFS(F2:F999,"50x")</f>
        <v>0</v>
      </c>
      <c r="O3" s="27" t="str">
        <f>IFERROR((COUNTIFS(F2:F999,"50x",G2:G999,"Ida",I2:I999,"Ganado")+(COUNTIFS(F2:F999,"50x",G2:G999,"Ida",I2:I999,"Break Even")))/(COUNTIFS(F2:F999,"50x",G2:G999,"Ida")),"Sin Datos")</f>
        <v>Sin Datos</v>
      </c>
      <c r="P3" s="27" t="str">
        <f>IFERROR((COUNTIFS(F2:F999,"50x",G2:G999,"Vuelta",I2:I999,"Ganado")+(COUNTIFS(F2:F999,"50x",G2:G999,"Vuelta",I2:I999,"Break Even")))/(COUNTIFS(F2:F999,"50x",G2:G999,"Vuelta")),"Sin Datos")</f>
        <v>Sin Datos</v>
      </c>
      <c r="Q3" s="27" t="str">
        <f>IFERROR((COUNTIFS(F2:F999,"50x",H2:H999,"Long",I2:I999,"Ganado")+(COUNTIFS(F2:F999,"50x",H2:H999,"Long",I2:I999,"Break Even")))/(COUNTIFS(F2:F999,"50x",H2:H999,"Long")),"Sin Datos")</f>
        <v>Sin Datos</v>
      </c>
      <c r="R3" s="27" t="str">
        <f>IFERROR((COUNTIFS(F2:F999,"50x",H2:H999,"Short",I2:I999,"Ganado")+(COUNTIFS(F2:F999,"50x",H2:H999,"Short",I2:I999,"Break Even")))/(COUNTIFS(F2:F999,"50x",H2:H999,"Short")),"Sin Datos")</f>
        <v>Sin Datos</v>
      </c>
      <c r="S3" s="4" t="str">
        <f>IFERROR((COUNTIFS(F2:F999,"50x",I2:I999,"Ganado")+(COUNTIFS(F2:F999,"50x",I2:I999,"Break Even")))/(N3),"Sin Datos")</f>
        <v>Sin Datos</v>
      </c>
    </row>
    <row r="4" spans="1:19" ht="15.75" x14ac:dyDescent="0.25">
      <c r="A4" s="2" t="s">
        <v>129</v>
      </c>
      <c r="B4" s="3">
        <f>SUM(SUMIFS(J2:J999,F2:F999,"100x"),SUMIFS(J2:J999,F2:F999,"50x"),SUMIFS(J2:J999,F2:F999,"25x"),SUMIFS(J2:J999,F2:F999,"10x"),SUMIFS(J2:J999,F2:F999,"5x"))</f>
        <v>0</v>
      </c>
      <c r="D4" s="2">
        <v>3</v>
      </c>
      <c r="E4" s="6"/>
      <c r="F4" s="2"/>
      <c r="G4" s="2"/>
      <c r="H4" s="2"/>
      <c r="I4" s="2" t="str">
        <f t="shared" si="0"/>
        <v/>
      </c>
      <c r="J4" s="3"/>
      <c r="K4" s="5" t="str">
        <f>IFERROR(Tabla3[[#This Row],[USD]]/$B$1,"")</f>
        <v/>
      </c>
      <c r="M4" s="26" t="s">
        <v>23</v>
      </c>
      <c r="N4" s="26">
        <f>COUNTIFS(F2:F999,"25x")</f>
        <v>0</v>
      </c>
      <c r="O4" s="27" t="str">
        <f>IFERROR((COUNTIFS(F2:F999,"25x",G2:G999,"Ida",I2:I999,"Ganado")+(COUNTIFS(F2:F999,"25x",G2:G999,"Ida",I2:I999,"Break Even")))/(COUNTIFS(F2:F999,"25x",G2:G999,"Ida")),"Sin Datos")</f>
        <v>Sin Datos</v>
      </c>
      <c r="P4" s="27" t="str">
        <f>IFERROR((COUNTIFS(F2:F999,"25x",G2:G999,"Vuelta",I2:I999,"Ganado")+(COUNTIFS(F2:F999,"25x",G2:G999,"Vuelta",I2:I999,"Break Even")))/(COUNTIFS(F2:F999,"25x",G2:G999,"Vuelta")),"Sin Datos")</f>
        <v>Sin Datos</v>
      </c>
      <c r="Q4" s="27" t="str">
        <f>IFERROR((COUNTIFS(F2:F999,"25x",H2:H999,"Long",I2:I999,"Ganado")+(COUNTIFS(F2:F999,"25x",H2:H999,"Long",I2:I999,"Break Even")))/(COUNTIFS(F2:F999,"25x",H2:H999,"Long")),"Sin Datos")</f>
        <v>Sin Datos</v>
      </c>
      <c r="R4" s="27" t="str">
        <f>IFERROR((COUNTIFS(F2:F999,"25x",H2:H999,"Short",I2:I999,"Ganado")+(COUNTIFS(F2:F999,"25x",H2:H999,"Short",I2:I999,"Break Even")))/(COUNTIFS(F2:F999,"25x",H2:H999,"Short")),"Sin Datos")</f>
        <v>Sin Datos</v>
      </c>
      <c r="S4" s="4" t="str">
        <f>IFERROR((COUNTIFS(F2:F999,"25x",I2:I999,"Ganado")+(COUNTIFS(F2:F999,"25x",I2:I999,"Break Even")))/(N4),"Sin Datos")</f>
        <v>Sin Datos</v>
      </c>
    </row>
    <row r="5" spans="1:19" ht="15.75" x14ac:dyDescent="0.25">
      <c r="A5" s="2" t="s">
        <v>130</v>
      </c>
      <c r="B5" s="3">
        <f>SUM(SUMIFS(J2:J999,F2:F999,"BatiBot"),SUMIFS(J2:J999,F2:F999,"WolfiBot"),SUMIFS(J2:J999,F2:F999,"CondorBot"))</f>
        <v>0</v>
      </c>
      <c r="D5" s="2">
        <v>4</v>
      </c>
      <c r="E5" s="6"/>
      <c r="F5" s="2"/>
      <c r="G5" s="2"/>
      <c r="H5" s="2"/>
      <c r="I5" s="2" t="str">
        <f t="shared" si="0"/>
        <v/>
      </c>
      <c r="J5" s="3"/>
      <c r="K5" s="5" t="str">
        <f>IFERROR(Tabla3[[#This Row],[USD]]/$B$1,"")</f>
        <v/>
      </c>
      <c r="M5" s="2" t="s">
        <v>24</v>
      </c>
      <c r="N5" s="2">
        <f>COUNTIFS(F2:F999,"10x")</f>
        <v>0</v>
      </c>
      <c r="O5" s="27" t="str">
        <f>IFERROR((COUNTIFS(F2:F999,"10x",G2:G999,"Ida",I2:I999,"Ganado")+(COUNTIFS(F2:F999,"10x",G2:G999,"Ida",I2:I999,"Break Even")))/(COUNTIFS(F2:F999,"10x",G2:G999,"Ida")),"Sin Datos")</f>
        <v>Sin Datos</v>
      </c>
      <c r="P5" s="27" t="str">
        <f>IFERROR((COUNTIFS(F2:F999,"10x",G2:G999,"Vuelta",I2:I999,"Ganado")+(COUNTIFS(F2:F999,"10x",G2:G999,"Vuelta",I2:I999,"Break Even")))/(COUNTIFS(F2:F999,"10x",G2:G999,"Vuelta")),"Sin Datos")</f>
        <v>Sin Datos</v>
      </c>
      <c r="Q5" s="27" t="str">
        <f>IFERROR((COUNTIFS(F2:F999,"10x",H2:H999,"Long",I2:I999,"Ganado")+(COUNTIFS(F2:F999,"10x",H2:H999,"Long",I2:I999,"Break Even")))/(COUNTIFS(F2:F999,"10x",H2:H999,"Long")),"Sin Datos")</f>
        <v>Sin Datos</v>
      </c>
      <c r="R5" s="27" t="str">
        <f>IFERROR((COUNTIFS(F2:F999,"10x",H2:H999,"Short",I2:I999,"Ganado")+(COUNTIFS(F2:F999,"10x",H2:H999,"Short",I2:I999,"Break Even")))/(COUNTIFS(F2:F999,"10x",H2:H999,"Short")),"Sin Datos")</f>
        <v>Sin Datos</v>
      </c>
      <c r="S5" s="4" t="str">
        <f>IFERROR((COUNTIFS(F2:F999,"10x",I2:I999,"Ganado")+(COUNTIFS(F2:F999,"10x",I2:I999,"Break Even")))/(N5),"Sin Datos")</f>
        <v>Sin Datos</v>
      </c>
    </row>
    <row r="6" spans="1:19" ht="15.75" x14ac:dyDescent="0.25">
      <c r="A6" s="2" t="s">
        <v>131</v>
      </c>
      <c r="B6" s="3">
        <f>SUMIFS(J2:J999,F2:F999,"Otras")</f>
        <v>0</v>
      </c>
      <c r="D6" s="2">
        <v>5</v>
      </c>
      <c r="E6" s="6"/>
      <c r="F6" s="2"/>
      <c r="G6" s="2"/>
      <c r="H6" s="2"/>
      <c r="I6" s="2" t="str">
        <f t="shared" si="0"/>
        <v/>
      </c>
      <c r="J6" s="3"/>
      <c r="K6" s="5" t="str">
        <f>IFERROR(Tabla3[[#This Row],[USD]]/$B$1,"")</f>
        <v/>
      </c>
      <c r="M6" s="2" t="s">
        <v>33</v>
      </c>
      <c r="N6" s="6">
        <f>COUNTIFS(F2:F999,"5x")</f>
        <v>0</v>
      </c>
      <c r="O6" s="27" t="str">
        <f>IFERROR((COUNTIFS(F2:F999,"5x",G2:G999,"Ida",I2:I999,"Ganado")+(COUNTIFS(F2:F999,"5x",G2:G999,"Ida",I2:I999,"Break Even")))/(COUNTIFS(F2:F999,"5x",G2:G999,"Ida")),"Sin Datos")</f>
        <v>Sin Datos</v>
      </c>
      <c r="P6" s="27" t="str">
        <f>IFERROR((COUNTIFS(F2:F999,"5x",G2:G999,"Vuelta",I2:I999,"Ganado")+(COUNTIFS(F2:F999,"5x",G2:G999,"Vuelta",I2:I999,"Break Even")))/(COUNTIFS(F2:F999,"5x",G2:G999,"Vuelta")),"Sin Datos")</f>
        <v>Sin Datos</v>
      </c>
      <c r="Q6" s="27" t="str">
        <f>IFERROR((COUNTIFS(F2:F999,"5x",H2:H999,"Long",I2:I999,"Ganado")+(COUNTIFS(F2:F999,"5x",H2:H999,"Long",I2:I999,"Break Even")))/(COUNTIFS(F2:F999,"5x",H2:H999,"Long")),"Sin Datos")</f>
        <v>Sin Datos</v>
      </c>
      <c r="R6" s="27" t="str">
        <f>IFERROR((COUNTIFS(F2:F999,"5x",H2:H999,"Short",I2:I999,"Ganado")+(COUNTIFS(F2:F999,"5x",H2:H999,"Short",I2:I999,"Break Even")))/(COUNTIFS(F2:F999,"5x",H2:H999,"Short")),"Sin Datos")</f>
        <v>Sin Datos</v>
      </c>
      <c r="S6" s="4" t="str">
        <f>IFERROR((COUNTIFS(F2:F999,"5x",I2:I999,"Ganado")+(COUNTIFS(F2:F999,"5x",I2:I999,"Break Even")))/(N6),"Sin Datos")</f>
        <v>Sin Datos</v>
      </c>
    </row>
    <row r="7" spans="1:19" ht="15.75" x14ac:dyDescent="0.25">
      <c r="A7" s="2" t="s">
        <v>132</v>
      </c>
      <c r="B7" s="3">
        <f>IFERROR((B3/SUM(IF(FREQUENCY(E2:E999,E2:E999),1))),0)</f>
        <v>0</v>
      </c>
      <c r="D7" s="2">
        <v>6</v>
      </c>
      <c r="E7" s="6"/>
      <c r="F7" s="2"/>
      <c r="G7" s="2"/>
      <c r="H7" s="2"/>
      <c r="I7" s="2" t="str">
        <f t="shared" si="0"/>
        <v/>
      </c>
      <c r="J7" s="3"/>
      <c r="K7" s="5" t="str">
        <f>IFERROR(Tabla3[[#This Row],[USD]]/$B$1,"")</f>
        <v/>
      </c>
      <c r="M7" s="26" t="s">
        <v>19</v>
      </c>
      <c r="N7" s="26">
        <f>COUNTIFS(F2:F999,"BatiBot")</f>
        <v>0</v>
      </c>
      <c r="O7" s="27" t="str">
        <f>IFERROR((COUNTIFS(F2:F999,"BatiBot",G2:G999,"Ida",I2:I999,"Ganado")+(COUNTIFS(F2:F999,"BatiBot",G2:G999,"Ida",I2:I999,"Break Even")))/(COUNTIFS(F2:F999,"BatiBot",G2:G999,"Ida")),"Sin Datos")</f>
        <v>Sin Datos</v>
      </c>
      <c r="P7" s="27" t="str">
        <f>IFERROR((COUNTIFS(F2:F999,"BatiBot",G2:G999,"Vuelta",I2:I999,"Ganado")+(COUNTIFS(F2:F999,"BatiBot",G2:G999,"Vuelta",I2:I999,"Break Even")))/(COUNTIFS(F2:F999,"BatiBot",G2:G999,"Vuelta")),"Sin Datos")</f>
        <v>Sin Datos</v>
      </c>
      <c r="Q7" s="27" t="str">
        <f>IFERROR((COUNTIFS(F2:F999,"BatiBot",H2:H999,"Long",I2:I999,"Ganado")+(COUNTIFS(F2:F999,"BatiBot",H2:H999,"Long",I2:I999,"Break Even")))/(COUNTIFS(F2:F999,"BatiBot",H2:H999,"Long")),"Sin Datos")</f>
        <v>Sin Datos</v>
      </c>
      <c r="R7" s="27" t="str">
        <f>IFERROR((COUNTIFS(F2:F999,"BatiBot",H2:H999,"Short",I2:I999,"Ganado")+(COUNTIFS(F2:F999,"BatiBot",H2:H999,"Short",I2:I999,"Break Even")))/(COUNTIFS(F2:F999,"BatiBot",H2:H999,"Short")),"Sin Datos")</f>
        <v>Sin Datos</v>
      </c>
      <c r="S7" s="4" t="str">
        <f>IFERROR((COUNTIFS(F2:F999,"BatiBot",I2:I999,"Ganado")+(COUNTIFS(F2:F999,"BatiBot",I2:I999,"Break Even")))/(N7),"Sin Datos")</f>
        <v>Sin Datos</v>
      </c>
    </row>
    <row r="8" spans="1:19" ht="15.75" x14ac:dyDescent="0.25">
      <c r="A8" s="2" t="s">
        <v>133</v>
      </c>
      <c r="B8" s="2"/>
      <c r="D8" s="2">
        <v>7</v>
      </c>
      <c r="E8" s="6"/>
      <c r="F8" s="2"/>
      <c r="G8" s="2"/>
      <c r="H8" s="2"/>
      <c r="I8" s="2" t="str">
        <f t="shared" si="0"/>
        <v/>
      </c>
      <c r="J8" s="3"/>
      <c r="K8" s="5" t="str">
        <f>IFERROR(Tabla3[[#This Row],[USD]]/$B$1,"")</f>
        <v/>
      </c>
      <c r="M8" s="2" t="s">
        <v>18</v>
      </c>
      <c r="N8" s="2">
        <f>COUNTIFS(F2:F999,"WolfiBot")</f>
        <v>0</v>
      </c>
      <c r="O8" s="27" t="str">
        <f>IFERROR((COUNTIFS(F2:F999,"WolfiBot",G2:G999,"Ida",I2:I999,"Ganado")+(COUNTIFS(F2:F999,"WolfiBot",G2:G999,"Ida",I2:I999,"Break Even")))/(COUNTIFS(F2:F999,"WolfiBot",G2:G999,"Ida")),"Sin Datos")</f>
        <v>Sin Datos</v>
      </c>
      <c r="P8" s="27" t="str">
        <f>IFERROR((COUNTIFS(F2:F999,"WolfiBot",G2:G999,"Vuelta",I2:I999,"Ganado")+(COUNTIFS(F2:F999,"WolfiBot",G2:G999,"Vuelta",I2:I999,"Break Even")))/(COUNTIFS(F2:F999,"WolfiBot",G2:G999,"Vuelta")),"Sin Datos")</f>
        <v>Sin Datos</v>
      </c>
      <c r="Q8" s="27" t="str">
        <f>IFERROR((COUNTIFS(F2:F999,"WolfiBot",H2:H999,"Long",I2:I999,"Ganado")+(COUNTIFS(F2:F999,"WolfiBot",H2:H999,"Long",I2:I999,"Break Even")))/(COUNTIFS(F2:F999,"WolfiBot",H2:H999,"Long")),"Sin Datos")</f>
        <v>Sin Datos</v>
      </c>
      <c r="R8" s="27" t="str">
        <f>IFERROR((COUNTIFS(F2:F999,"WolfiBot",H2:H999,"Short",I2:I999,"Ganado")+(COUNTIFS(F2:F999,"WolfiBot",H2:H999,"Short",I2:I999,"Break Even")))/(COUNTIFS(F2:F999,"WolfiBot",H2:H999,"Short")),"Sin Datos")</f>
        <v>Sin Datos</v>
      </c>
      <c r="S8" s="4" t="str">
        <f>IFERROR((COUNTIFS(F2:F999,"WolfiBot",I2:I999,"Ganado")+(COUNTIFS(F2:F999,"WolfiBot",I2:I999,"Break Even")))/(N8),"Sin Datos")</f>
        <v>Sin Datos</v>
      </c>
    </row>
    <row r="9" spans="1:19" ht="15.75" x14ac:dyDescent="0.25">
      <c r="A9" s="2" t="s">
        <v>104</v>
      </c>
      <c r="B9" s="2">
        <f>N11</f>
        <v>0</v>
      </c>
      <c r="D9" s="2">
        <v>8</v>
      </c>
      <c r="E9" s="6"/>
      <c r="F9" s="2"/>
      <c r="G9" s="2"/>
      <c r="H9" s="2"/>
      <c r="I9" s="2" t="str">
        <f t="shared" si="0"/>
        <v/>
      </c>
      <c r="J9" s="3"/>
      <c r="K9" s="5" t="str">
        <f>IFERROR(Tabla3[[#This Row],[USD]]/$B$1,"")</f>
        <v/>
      </c>
      <c r="M9" s="26" t="s">
        <v>25</v>
      </c>
      <c r="N9" s="2">
        <f>COUNTIFS(F2:F999,"CondorBot")</f>
        <v>0</v>
      </c>
      <c r="O9" s="27" t="str">
        <f>IFERROR((COUNTIFS(F2:F999,"CondorBot",G2:G999,"Ida",I2:I999,"Ganado")+(COUNTIFS(F2:F999,"CondorBot",G2:G999,"Ida",I2:I999,"Break Even")))/(COUNTIFS(F2:F999,"CondorBot",G2:G999,"Ida")),"Sin Datos")</f>
        <v>Sin Datos</v>
      </c>
      <c r="P9" s="27" t="str">
        <f>IFERROR((COUNTIFS(F2:F999,"CondorBot",G2:G999,"Vuelta",I2:I999,"Ganado")+(COUNTIFS(F2:F999,"CondorBot",G2:G999,"Vuelta",I2:I999,"Break Even")))/(COUNTIFS(F2:F999,"CondorBot",G2:G999,"Vuelta")),"Sin Datos")</f>
        <v>Sin Datos</v>
      </c>
      <c r="Q9" s="27" t="str">
        <f>IFERROR((COUNTIFS(F2:F999,"CondorBot",H2:H999,"Long",I2:I999,"Ganado")+(COUNTIFS(F2:F999,"CondorBot",H2:H999,"Long",I2:I999,"Break Even")))/(COUNTIFS(F2:F999,"CondorBot",H2:H999,"Long")),"Sin Datos")</f>
        <v>Sin Datos</v>
      </c>
      <c r="R9" s="27" t="str">
        <f>IFERROR((COUNTIFS(F2:F999,"CondorBot",H2:H999,"Short",I2:I999,"Ganado")+(COUNTIFS(F2:F999,"CondorBot",H2:H999,"Short",I2:I999,"Break Even")))/(COUNTIFS(F2:F999,"CondorBot",H2:H999,"Short")),"Sin Datos")</f>
        <v>Sin Datos</v>
      </c>
      <c r="S9" s="4" t="str">
        <f>IFERROR((COUNTIFS(F2:F999,"CondorBot",I2:I999,"Ganado")+(COUNTIFS(F2:F999,"CondorBot",I2:I999,"Break Even")))/(N9),"Sin Datos")</f>
        <v>Sin Datos</v>
      </c>
    </row>
    <row r="10" spans="1:19" ht="15.75" x14ac:dyDescent="0.25">
      <c r="A10" s="2" t="s">
        <v>105</v>
      </c>
      <c r="B10" s="2">
        <f>SUM(N2:N6)</f>
        <v>0</v>
      </c>
      <c r="D10" s="2">
        <v>9</v>
      </c>
      <c r="E10" s="6"/>
      <c r="F10" s="2"/>
      <c r="G10" s="2"/>
      <c r="H10" s="2"/>
      <c r="I10" s="2" t="str">
        <f t="shared" si="0"/>
        <v/>
      </c>
      <c r="J10" s="3"/>
      <c r="K10" s="5" t="str">
        <f>IFERROR(Tabla3[[#This Row],[USD]]/$B$1,"")</f>
        <v/>
      </c>
      <c r="M10" s="26" t="s">
        <v>34</v>
      </c>
      <c r="N10" s="6">
        <f>COUNTIFS(F2:F999,"Otras")</f>
        <v>0</v>
      </c>
      <c r="O10" s="27" t="str">
        <f>IFERROR((COUNTIFS(F2:F999,"Otras",G2:G999,"Ida",I2:I999,"Ganado")+(COUNTIFS(F2:F999,"Otras",G2:G999,"Ida",I2:I999,"Break Even")))/(COUNTIFS(F2:F999,"Otras",G2:G999,"Ida")),"Sin Datos")</f>
        <v>Sin Datos</v>
      </c>
      <c r="P10" s="27" t="str">
        <f>IFERROR((COUNTIFS(F2:F999,"Otras",G2:G999,"Vuelta",I2:I999,"Ganado")+(COUNTIFS(F2:F999,"Otras",G2:G999,"Vuelta",I2:I999,"Break Even")))/(COUNTIFS(F2:F999,"Otras",G2:G999,"Vuelta")),"Sin Datos")</f>
        <v>Sin Datos</v>
      </c>
      <c r="Q10" s="27" t="str">
        <f>IFERROR((COUNTIFS(F2:F999,"Otras",H2:H999,"Long",I2:I999,"Ganado")+(COUNTIFS(F2:F999,"Otras",H2:H999,"Long",I2:I999,"Break Even")))/(COUNTIFS(F2:F999,"Otras",H2:H999,"Long")),"Sin Datos")</f>
        <v>Sin Datos</v>
      </c>
      <c r="R10" s="27" t="str">
        <f>IFERROR((COUNTIFS(F2:F999,"Otras",H2:H999,"Short",I2:I999,"Ganado")+(COUNTIFS(F2:F999,"Otras",H2:H999,"Short",I2:I999,"Break Even")))/(COUNTIFS(F2:F999,"Otras",H2:H999,"Short")),"Sin Datos")</f>
        <v>Sin Datos</v>
      </c>
      <c r="S10" s="4" t="str">
        <f>IFERROR((COUNTIFS(F2:F999,"Otras",I2:I999,"Ganado")+(COUNTIFS(F2:F999,"Otras",I2:I999,"Break Even")))/(N10),"Sin Datos")</f>
        <v>Sin Datos</v>
      </c>
    </row>
    <row r="11" spans="1:19" ht="18.75" x14ac:dyDescent="0.25">
      <c r="A11" s="2" t="s">
        <v>106</v>
      </c>
      <c r="B11" s="2">
        <f>SUM(N7:N9)</f>
        <v>0</v>
      </c>
      <c r="D11" s="2">
        <v>10</v>
      </c>
      <c r="E11" s="6"/>
      <c r="F11" s="2"/>
      <c r="G11" s="2"/>
      <c r="H11" s="2"/>
      <c r="I11" s="2" t="str">
        <f t="shared" si="0"/>
        <v/>
      </c>
      <c r="J11" s="3"/>
      <c r="K11" s="5" t="str">
        <f>IFERROR(Tabla3[[#This Row],[USD]]/$B$1,"")</f>
        <v/>
      </c>
      <c r="M11" s="28" t="s">
        <v>6</v>
      </c>
      <c r="N11" s="28">
        <f>COUNT(J2:J999)</f>
        <v>0</v>
      </c>
      <c r="O11" s="29" t="str">
        <f>IFERROR((COUNTIFS(G2:G999,"Ida",I2:I999,"Ganado")+(COUNTIFS(G2:G999,"Ida",I2:I999,"Break Even")))/(COUNTIFS(G2:G999,"Ida")),"Sin Datos")</f>
        <v>Sin Datos</v>
      </c>
      <c r="P11" s="29" t="str">
        <f>IFERROR((COUNTIFS(G2:G999,"Vuelta",I2:I999,"Ganado")+(COUNTIFS(G2:G999,"Vuelta",I2:I999,"Break Even")))/(COUNTIFS(G2:G999,"Vuelta")),"Sin Datos")</f>
        <v>Sin Datos</v>
      </c>
      <c r="Q11" s="29" t="str">
        <f>IFERROR((COUNTIFS(H2:H999,"Long",I2:I999,"Ganado")+(COUNTIFS(H2:H999,"Long",I2:I999,"Break Even")))/(COUNTIFS(H2:H999,"Long")),"Sin Datos")</f>
        <v>Sin Datos</v>
      </c>
      <c r="R11" s="29" t="str">
        <f>IFERROR((COUNTIFS(H2:H999,"Short",I2:I999,"Ganado")+(COUNTIFS(H2:H999,"Short",I2:I999,"Break Even")))/(COUNTIFS(H2:H999,"Short")),"Sin Datos")</f>
        <v>Sin Datos</v>
      </c>
      <c r="S11" s="29" t="str">
        <f>IFERROR((COUNTIF(I2:I999,"Ganado")+(COUNTIF(I2:I999,"Break Even")))/(N11),"Sin Datos")</f>
        <v>Sin Datos</v>
      </c>
    </row>
    <row r="12" spans="1:19" ht="15.75" x14ac:dyDescent="0.25">
      <c r="A12" s="2" t="s">
        <v>107</v>
      </c>
      <c r="B12" s="2">
        <f>N10</f>
        <v>0</v>
      </c>
      <c r="D12" s="2">
        <v>11</v>
      </c>
      <c r="E12" s="6"/>
      <c r="F12" s="2"/>
      <c r="G12" s="2"/>
      <c r="H12" s="2"/>
      <c r="I12" s="2" t="str">
        <f t="shared" si="0"/>
        <v/>
      </c>
      <c r="J12" s="3"/>
      <c r="K12" s="5" t="str">
        <f>IFERROR(Tabla3[[#This Row],[USD]]/$B$1,"")</f>
        <v/>
      </c>
    </row>
    <row r="13" spans="1:19" ht="15.75" x14ac:dyDescent="0.25">
      <c r="A13" s="2" t="s">
        <v>113</v>
      </c>
      <c r="B13" s="4" t="str">
        <f>S11</f>
        <v>Sin Datos</v>
      </c>
      <c r="D13" s="2">
        <v>12</v>
      </c>
      <c r="E13" s="6"/>
      <c r="F13" s="2"/>
      <c r="G13" s="2"/>
      <c r="H13" s="2"/>
      <c r="I13" s="2" t="str">
        <f t="shared" si="0"/>
        <v/>
      </c>
      <c r="J13" s="3"/>
      <c r="K13" s="5" t="str">
        <f>IFERROR(Tabla3[[#This Row],[USD]]/$B$1,"")</f>
        <v/>
      </c>
      <c r="M13" s="85" t="s">
        <v>138</v>
      </c>
      <c r="N13" s="85"/>
      <c r="O13" s="1"/>
      <c r="R13" s="30"/>
    </row>
    <row r="14" spans="1:19" ht="15.75" x14ac:dyDescent="0.25">
      <c r="A14" s="2" t="s">
        <v>114</v>
      </c>
      <c r="B14" s="4" t="str">
        <f>IFERROR(AVERAGE(S2:S6),"Sin Datos")</f>
        <v>Sin Datos</v>
      </c>
      <c r="D14" s="2">
        <v>13</v>
      </c>
      <c r="E14" s="6"/>
      <c r="F14" s="2"/>
      <c r="G14" s="2"/>
      <c r="H14" s="2"/>
      <c r="I14" s="2" t="str">
        <f t="shared" si="0"/>
        <v/>
      </c>
      <c r="J14" s="3"/>
      <c r="K14" s="5" t="str">
        <f>IFERROR(Tabla3[[#This Row],[USD]]/$B$1,"")</f>
        <v/>
      </c>
      <c r="M14" s="2" t="s">
        <v>39</v>
      </c>
      <c r="N14" s="2"/>
      <c r="O14" s="1"/>
    </row>
    <row r="15" spans="1:19" ht="15.75" x14ac:dyDescent="0.25">
      <c r="A15" s="2" t="s">
        <v>115</v>
      </c>
      <c r="B15" s="4" t="str">
        <f>IFERROR(AVERAGE(S7:S9),"Sin Datos")</f>
        <v>Sin Datos</v>
      </c>
      <c r="D15" s="2">
        <v>14</v>
      </c>
      <c r="E15" s="6"/>
      <c r="F15" s="2"/>
      <c r="G15" s="2"/>
      <c r="H15" s="2"/>
      <c r="I15" s="2" t="str">
        <f t="shared" si="0"/>
        <v/>
      </c>
      <c r="J15" s="3"/>
      <c r="K15" s="5" t="str">
        <f>IFERROR(Tabla3[[#This Row],[USD]]/$B$1,"")</f>
        <v/>
      </c>
      <c r="M15" s="2" t="s">
        <v>139</v>
      </c>
      <c r="N15" s="2"/>
      <c r="O15" s="1"/>
    </row>
    <row r="16" spans="1:19" ht="15.75" x14ac:dyDescent="0.25">
      <c r="A16" s="2" t="s">
        <v>116</v>
      </c>
      <c r="B16" s="4" t="str">
        <f>S10</f>
        <v>Sin Datos</v>
      </c>
      <c r="D16" s="2">
        <v>15</v>
      </c>
      <c r="E16" s="6"/>
      <c r="F16" s="2"/>
      <c r="G16" s="2"/>
      <c r="H16" s="2"/>
      <c r="I16" s="2" t="str">
        <f t="shared" si="0"/>
        <v/>
      </c>
      <c r="J16" s="3"/>
      <c r="K16" s="5" t="str">
        <f>IFERROR(Tabla3[[#This Row],[USD]]/$B$1,"")</f>
        <v/>
      </c>
      <c r="M16" s="2" t="s">
        <v>127</v>
      </c>
      <c r="N16" s="2">
        <f>(N15*N14)</f>
        <v>0</v>
      </c>
      <c r="O16" s="1"/>
    </row>
    <row r="17" spans="1:11" ht="15.75" x14ac:dyDescent="0.25">
      <c r="A17" s="2" t="s">
        <v>134</v>
      </c>
      <c r="B17" s="5">
        <f>IFERROR(AVERAGE(SUM(K2:K999)),"Sin Datos")</f>
        <v>0</v>
      </c>
      <c r="D17" s="2">
        <v>16</v>
      </c>
      <c r="E17" s="6"/>
      <c r="F17" s="2"/>
      <c r="G17" s="2"/>
      <c r="H17" s="2"/>
      <c r="I17" s="2" t="str">
        <f t="shared" si="0"/>
        <v/>
      </c>
      <c r="J17" s="3"/>
      <c r="K17" s="5" t="str">
        <f>IFERROR(Tabla3[[#This Row],[USD]]/$B$1,"")</f>
        <v/>
      </c>
    </row>
    <row r="18" spans="1:11" ht="15.75" x14ac:dyDescent="0.25">
      <c r="A18" s="2" t="s">
        <v>135</v>
      </c>
      <c r="B18" s="5">
        <f>SUM(SUMIFS(K2:K999,F2:F999,"100x"),SUMIFS(K2:K999,F2:F999,"50x"),SUMIFS(K2:K999,F2:F999,"25x"),SUMIFS(K2:K999,F2:F999,"10x"),SUMIFS(K2:K999,F2:F999,"5x"))</f>
        <v>0</v>
      </c>
      <c r="D18" s="2">
        <v>17</v>
      </c>
      <c r="E18" s="6"/>
      <c r="F18" s="2"/>
      <c r="G18" s="2"/>
      <c r="H18" s="2"/>
      <c r="I18" s="2" t="str">
        <f t="shared" si="0"/>
        <v/>
      </c>
      <c r="J18" s="3"/>
      <c r="K18" s="5" t="str">
        <f>IFERROR(Tabla3[[#This Row],[USD]]/$B$1,"")</f>
        <v/>
      </c>
    </row>
    <row r="19" spans="1:11" ht="15.75" x14ac:dyDescent="0.25">
      <c r="A19" s="2" t="s">
        <v>136</v>
      </c>
      <c r="B19" s="5">
        <f>SUM(SUMIFS(K2:K999,F2:F999,"BatiBot"),SUMIFS(K2:K999,F2:F999,"WolfiBot"),SUMIFS(K2:K999,F2:F999,"CondorBot"))</f>
        <v>0</v>
      </c>
      <c r="D19" s="2">
        <v>18</v>
      </c>
      <c r="E19" s="6"/>
      <c r="F19" s="2"/>
      <c r="G19" s="2"/>
      <c r="H19" s="2"/>
      <c r="I19" s="2" t="str">
        <f t="shared" si="0"/>
        <v/>
      </c>
      <c r="J19" s="3"/>
      <c r="K19" s="5" t="str">
        <f>IFERROR(Tabla3[[#This Row],[USD]]/$B$1,"")</f>
        <v/>
      </c>
    </row>
    <row r="20" spans="1:11" ht="15.75" x14ac:dyDescent="0.25">
      <c r="A20" s="2" t="s">
        <v>137</v>
      </c>
      <c r="B20" s="5">
        <f>SUMIFS(K2:K999,F2:F999,"Otras")</f>
        <v>0</v>
      </c>
      <c r="D20" s="2">
        <v>19</v>
      </c>
      <c r="E20" s="6"/>
      <c r="F20" s="2"/>
      <c r="G20" s="2"/>
      <c r="H20" s="2"/>
      <c r="I20" s="2" t="str">
        <f t="shared" si="0"/>
        <v/>
      </c>
      <c r="J20" s="3"/>
      <c r="K20" s="5" t="str">
        <f>IFERROR(Tabla3[[#This Row],[USD]]/$B$1,"")</f>
        <v/>
      </c>
    </row>
    <row r="21" spans="1:11" ht="15.75" x14ac:dyDescent="0.25">
      <c r="D21" s="2">
        <v>20</v>
      </c>
      <c r="E21" s="6"/>
      <c r="F21" s="2"/>
      <c r="G21" s="2"/>
      <c r="H21" s="2"/>
      <c r="I21" s="2" t="str">
        <f t="shared" si="0"/>
        <v/>
      </c>
      <c r="J21" s="3"/>
      <c r="K21" s="5" t="str">
        <f>IFERROR(Tabla3[[#This Row],[USD]]/$B$1,"")</f>
        <v/>
      </c>
    </row>
    <row r="22" spans="1:11" ht="15.75" x14ac:dyDescent="0.25">
      <c r="A22" s="87" t="s">
        <v>140</v>
      </c>
      <c r="D22" s="2">
        <v>21</v>
      </c>
      <c r="E22" s="6"/>
      <c r="F22" s="2"/>
      <c r="G22" s="2"/>
      <c r="H22" s="2"/>
      <c r="I22" s="2" t="str">
        <f t="shared" si="0"/>
        <v/>
      </c>
      <c r="J22" s="3"/>
      <c r="K22" s="5" t="str">
        <f>IFERROR(Tabla3[[#This Row],[USD]]/$B$1,"")</f>
        <v/>
      </c>
    </row>
    <row r="23" spans="1:11" ht="15.75" x14ac:dyDescent="0.25">
      <c r="A23" s="87" t="s">
        <v>141</v>
      </c>
      <c r="D23" s="2">
        <v>22</v>
      </c>
      <c r="E23" s="6"/>
      <c r="F23" s="2"/>
      <c r="G23" s="2"/>
      <c r="H23" s="2"/>
      <c r="I23" s="2" t="str">
        <f t="shared" si="0"/>
        <v/>
      </c>
      <c r="J23" s="3"/>
      <c r="K23" s="5" t="str">
        <f>IFERROR(Tabla3[[#This Row],[USD]]/$B$1,"")</f>
        <v/>
      </c>
    </row>
    <row r="24" spans="1:11" ht="15.75" x14ac:dyDescent="0.25">
      <c r="D24" s="2">
        <v>23</v>
      </c>
      <c r="E24" s="6"/>
      <c r="F24" s="2"/>
      <c r="G24" s="2"/>
      <c r="H24" s="2"/>
      <c r="I24" s="2" t="str">
        <f t="shared" si="0"/>
        <v/>
      </c>
      <c r="J24" s="3"/>
      <c r="K24" s="5" t="str">
        <f>IFERROR(Tabla3[[#This Row],[USD]]/$B$1,"")</f>
        <v/>
      </c>
    </row>
    <row r="25" spans="1:11" ht="15.75" x14ac:dyDescent="0.25">
      <c r="D25" s="2">
        <v>24</v>
      </c>
      <c r="E25" s="6"/>
      <c r="F25" s="2"/>
      <c r="G25" s="2"/>
      <c r="H25" s="2"/>
      <c r="I25" s="2" t="str">
        <f t="shared" si="0"/>
        <v/>
      </c>
      <c r="J25" s="3"/>
      <c r="K25" s="5" t="str">
        <f>IFERROR(Tabla3[[#This Row],[USD]]/$B$1,"")</f>
        <v/>
      </c>
    </row>
    <row r="26" spans="1:11" ht="15.75" x14ac:dyDescent="0.25">
      <c r="D26" s="2">
        <v>25</v>
      </c>
      <c r="E26" s="6"/>
      <c r="F26" s="2"/>
      <c r="G26" s="2"/>
      <c r="H26" s="2"/>
      <c r="I26" s="2" t="str">
        <f t="shared" si="0"/>
        <v/>
      </c>
      <c r="J26" s="3"/>
      <c r="K26" s="5" t="str">
        <f>IFERROR(Tabla3[[#This Row],[USD]]/$B$1,"")</f>
        <v/>
      </c>
    </row>
    <row r="27" spans="1:11" ht="15.75" x14ac:dyDescent="0.25">
      <c r="D27" s="2">
        <v>26</v>
      </c>
      <c r="E27" s="6"/>
      <c r="F27" s="2"/>
      <c r="G27" s="2"/>
      <c r="H27" s="2"/>
      <c r="I27" s="2" t="str">
        <f t="shared" si="0"/>
        <v/>
      </c>
      <c r="J27" s="3"/>
      <c r="K27" s="5" t="str">
        <f>IFERROR(Tabla3[[#This Row],[USD]]/$B$1,"")</f>
        <v/>
      </c>
    </row>
    <row r="28" spans="1:11" ht="15.75" x14ac:dyDescent="0.25">
      <c r="D28" s="2">
        <v>27</v>
      </c>
      <c r="E28" s="6"/>
      <c r="F28" s="2"/>
      <c r="G28" s="2"/>
      <c r="H28" s="2"/>
      <c r="I28" s="2" t="str">
        <f t="shared" si="0"/>
        <v/>
      </c>
      <c r="J28" s="3"/>
      <c r="K28" s="5" t="str">
        <f>IFERROR(Tabla3[[#This Row],[USD]]/$B$1,"")</f>
        <v/>
      </c>
    </row>
    <row r="29" spans="1:11" ht="15.75" x14ac:dyDescent="0.25">
      <c r="D29" s="2">
        <v>28</v>
      </c>
      <c r="E29" s="6"/>
      <c r="F29" s="2"/>
      <c r="G29" s="2"/>
      <c r="H29" s="2"/>
      <c r="I29" s="2" t="str">
        <f t="shared" si="0"/>
        <v/>
      </c>
      <c r="J29" s="3"/>
      <c r="K29" s="5" t="str">
        <f>IFERROR(Tabla3[[#This Row],[USD]]/$B$1,"")</f>
        <v/>
      </c>
    </row>
    <row r="30" spans="1:11" ht="15.75" x14ac:dyDescent="0.25">
      <c r="D30" s="2">
        <v>29</v>
      </c>
      <c r="E30" s="6"/>
      <c r="F30" s="2"/>
      <c r="G30" s="2"/>
      <c r="H30" s="2"/>
      <c r="I30" s="2" t="str">
        <f t="shared" si="0"/>
        <v/>
      </c>
      <c r="J30" s="3"/>
      <c r="K30" s="5" t="str">
        <f>IFERROR(Tabla3[[#This Row],[USD]]/$B$1,"")</f>
        <v/>
      </c>
    </row>
    <row r="31" spans="1:11" ht="15.75" x14ac:dyDescent="0.25">
      <c r="D31" s="2">
        <v>30</v>
      </c>
      <c r="E31" s="6"/>
      <c r="F31" s="2"/>
      <c r="G31" s="2"/>
      <c r="H31" s="2"/>
      <c r="I31" s="2" t="str">
        <f t="shared" si="0"/>
        <v/>
      </c>
      <c r="J31" s="3"/>
      <c r="K31" s="5" t="str">
        <f>IFERROR(Tabla3[[#This Row],[USD]]/$B$1,"")</f>
        <v/>
      </c>
    </row>
    <row r="32" spans="1:11" ht="15.75" x14ac:dyDescent="0.25">
      <c r="D32" s="2">
        <v>31</v>
      </c>
      <c r="E32" s="6"/>
      <c r="F32" s="2"/>
      <c r="G32" s="2"/>
      <c r="H32" s="2"/>
      <c r="I32" s="2" t="str">
        <f t="shared" si="0"/>
        <v/>
      </c>
      <c r="J32" s="3"/>
      <c r="K32" s="5" t="str">
        <f>IFERROR(Tabla3[[#This Row],[USD]]/$B$1,"")</f>
        <v/>
      </c>
    </row>
    <row r="33" spans="4:11" ht="15.75" x14ac:dyDescent="0.25">
      <c r="D33" s="2">
        <v>32</v>
      </c>
      <c r="E33" s="6"/>
      <c r="F33" s="2"/>
      <c r="G33" s="2"/>
      <c r="H33" s="2"/>
      <c r="I33" s="2" t="str">
        <f t="shared" si="0"/>
        <v/>
      </c>
      <c r="J33" s="3"/>
      <c r="K33" s="5" t="str">
        <f>IFERROR(Tabla3[[#This Row],[USD]]/$B$1,"")</f>
        <v/>
      </c>
    </row>
    <row r="34" spans="4:11" ht="15.75" x14ac:dyDescent="0.25">
      <c r="D34" s="2">
        <v>33</v>
      </c>
      <c r="E34" s="6"/>
      <c r="F34" s="2"/>
      <c r="G34" s="2"/>
      <c r="H34" s="2"/>
      <c r="I34" s="2" t="str">
        <f t="shared" si="0"/>
        <v/>
      </c>
      <c r="J34" s="3"/>
      <c r="K34" s="5" t="str">
        <f>IFERROR(Tabla3[[#This Row],[USD]]/$B$1,"")</f>
        <v/>
      </c>
    </row>
    <row r="35" spans="4:11" ht="15.75" x14ac:dyDescent="0.25">
      <c r="D35" s="2">
        <v>34</v>
      </c>
      <c r="E35" s="6"/>
      <c r="F35" s="2"/>
      <c r="G35" s="2"/>
      <c r="H35" s="2"/>
      <c r="I35" s="2" t="str">
        <f t="shared" si="0"/>
        <v/>
      </c>
      <c r="J35" s="3"/>
      <c r="K35" s="5" t="str">
        <f>IFERROR(Tabla3[[#This Row],[USD]]/$B$1,"")</f>
        <v/>
      </c>
    </row>
    <row r="36" spans="4:11" ht="15.75" x14ac:dyDescent="0.25">
      <c r="D36" s="2">
        <v>35</v>
      </c>
      <c r="E36" s="6"/>
      <c r="F36" s="2"/>
      <c r="G36" s="2"/>
      <c r="H36" s="2"/>
      <c r="I36" s="2" t="str">
        <f t="shared" si="0"/>
        <v/>
      </c>
      <c r="J36" s="3"/>
      <c r="K36" s="5" t="str">
        <f>IFERROR(Tabla3[[#This Row],[USD]]/$B$1,"")</f>
        <v/>
      </c>
    </row>
    <row r="37" spans="4:11" ht="15.75" x14ac:dyDescent="0.25">
      <c r="D37" s="2">
        <v>36</v>
      </c>
      <c r="E37" s="6"/>
      <c r="F37" s="2"/>
      <c r="G37" s="2"/>
      <c r="H37" s="2"/>
      <c r="I37" s="2" t="str">
        <f t="shared" si="0"/>
        <v/>
      </c>
      <c r="J37" s="3"/>
      <c r="K37" s="5" t="str">
        <f>IFERROR(Tabla3[[#This Row],[USD]]/$B$1,"")</f>
        <v/>
      </c>
    </row>
    <row r="38" spans="4:11" ht="15.75" x14ac:dyDescent="0.25">
      <c r="D38" s="2">
        <v>37</v>
      </c>
      <c r="E38" s="6"/>
      <c r="F38" s="2"/>
      <c r="G38" s="2"/>
      <c r="H38" s="2"/>
      <c r="I38" s="2" t="str">
        <f t="shared" si="0"/>
        <v/>
      </c>
      <c r="J38" s="3"/>
      <c r="K38" s="5" t="str">
        <f>IFERROR(Tabla3[[#This Row],[USD]]/$B$1,"")</f>
        <v/>
      </c>
    </row>
    <row r="39" spans="4:11" ht="15.75" x14ac:dyDescent="0.25">
      <c r="D39" s="2">
        <v>38</v>
      </c>
      <c r="E39" s="6"/>
      <c r="F39" s="2"/>
      <c r="G39" s="2"/>
      <c r="H39" s="2"/>
      <c r="I39" s="2" t="str">
        <f t="shared" si="0"/>
        <v/>
      </c>
      <c r="J39" s="3"/>
      <c r="K39" s="5" t="str">
        <f>IFERROR(Tabla3[[#This Row],[USD]]/$B$1,"")</f>
        <v/>
      </c>
    </row>
    <row r="40" spans="4:11" ht="15.75" x14ac:dyDescent="0.25">
      <c r="D40" s="2">
        <v>39</v>
      </c>
      <c r="E40" s="6"/>
      <c r="F40" s="2"/>
      <c r="G40" s="2"/>
      <c r="H40" s="2"/>
      <c r="I40" s="2" t="str">
        <f t="shared" si="0"/>
        <v/>
      </c>
      <c r="J40" s="3"/>
      <c r="K40" s="5" t="str">
        <f>IFERROR(Tabla3[[#This Row],[USD]]/$B$1,"")</f>
        <v/>
      </c>
    </row>
    <row r="41" spans="4:11" ht="15.75" x14ac:dyDescent="0.25">
      <c r="D41" s="2">
        <v>40</v>
      </c>
      <c r="E41" s="6"/>
      <c r="F41" s="2"/>
      <c r="G41" s="2"/>
      <c r="H41" s="2"/>
      <c r="I41" s="2" t="str">
        <f t="shared" si="0"/>
        <v/>
      </c>
      <c r="J41" s="3"/>
      <c r="K41" s="5" t="str">
        <f>IFERROR(Tabla3[[#This Row],[USD]]/$B$1,"")</f>
        <v/>
      </c>
    </row>
    <row r="42" spans="4:11" ht="15.75" x14ac:dyDescent="0.25">
      <c r="D42" s="2">
        <v>41</v>
      </c>
      <c r="E42" s="6"/>
      <c r="F42" s="2"/>
      <c r="G42" s="2"/>
      <c r="H42" s="2"/>
      <c r="I42" s="2" t="str">
        <f t="shared" si="0"/>
        <v/>
      </c>
      <c r="J42" s="3"/>
      <c r="K42" s="5" t="str">
        <f>IFERROR(Tabla3[[#This Row],[USD]]/$B$1,"")</f>
        <v/>
      </c>
    </row>
    <row r="43" spans="4:11" ht="15.75" x14ac:dyDescent="0.25">
      <c r="D43" s="2">
        <v>42</v>
      </c>
      <c r="E43" s="6"/>
      <c r="F43" s="2"/>
      <c r="G43" s="2"/>
      <c r="H43" s="2"/>
      <c r="I43" s="2" t="str">
        <f t="shared" si="0"/>
        <v/>
      </c>
      <c r="J43" s="3"/>
      <c r="K43" s="5" t="str">
        <f>IFERROR(Tabla3[[#This Row],[USD]]/$B$1,"")</f>
        <v/>
      </c>
    </row>
    <row r="44" spans="4:11" ht="15.75" x14ac:dyDescent="0.25">
      <c r="D44" s="2">
        <v>43</v>
      </c>
      <c r="E44" s="6"/>
      <c r="F44" s="2"/>
      <c r="G44" s="2"/>
      <c r="H44" s="2"/>
      <c r="I44" s="2" t="str">
        <f t="shared" si="0"/>
        <v/>
      </c>
      <c r="J44" s="3"/>
      <c r="K44" s="5" t="str">
        <f>IFERROR(Tabla3[[#This Row],[USD]]/$B$1,"")</f>
        <v/>
      </c>
    </row>
    <row r="45" spans="4:11" ht="15.75" x14ac:dyDescent="0.25">
      <c r="D45" s="2">
        <v>44</v>
      </c>
      <c r="E45" s="6"/>
      <c r="F45" s="2"/>
      <c r="G45" s="2"/>
      <c r="H45" s="2"/>
      <c r="I45" s="2" t="str">
        <f t="shared" si="0"/>
        <v/>
      </c>
      <c r="J45" s="3"/>
      <c r="K45" s="5" t="str">
        <f>IFERROR(Tabla3[[#This Row],[USD]]/$B$1,"")</f>
        <v/>
      </c>
    </row>
    <row r="46" spans="4:11" ht="15.75" x14ac:dyDescent="0.25">
      <c r="D46" s="2">
        <v>45</v>
      </c>
      <c r="E46" s="6"/>
      <c r="F46" s="2"/>
      <c r="G46" s="2"/>
      <c r="H46" s="2"/>
      <c r="I46" s="2" t="str">
        <f t="shared" si="0"/>
        <v/>
      </c>
      <c r="J46" s="3"/>
      <c r="K46" s="5" t="str">
        <f>IFERROR(Tabla3[[#This Row],[USD]]/$B$1,"")</f>
        <v/>
      </c>
    </row>
    <row r="47" spans="4:11" ht="15.75" x14ac:dyDescent="0.25">
      <c r="D47" s="2">
        <v>46</v>
      </c>
      <c r="E47" s="6"/>
      <c r="F47" s="2"/>
      <c r="G47" s="2"/>
      <c r="H47" s="2"/>
      <c r="I47" s="2" t="str">
        <f t="shared" si="0"/>
        <v/>
      </c>
      <c r="J47" s="3"/>
      <c r="K47" s="5" t="str">
        <f>IFERROR(Tabla3[[#This Row],[USD]]/$B$1,"")</f>
        <v/>
      </c>
    </row>
    <row r="48" spans="4:11" ht="15.75" x14ac:dyDescent="0.25">
      <c r="D48" s="2">
        <v>47</v>
      </c>
      <c r="E48" s="6"/>
      <c r="F48" s="2"/>
      <c r="G48" s="2"/>
      <c r="H48" s="2"/>
      <c r="I48" s="2" t="str">
        <f t="shared" si="0"/>
        <v/>
      </c>
      <c r="J48" s="3"/>
      <c r="K48" s="5" t="str">
        <f>IFERROR(Tabla3[[#This Row],[USD]]/$B$1,"")</f>
        <v/>
      </c>
    </row>
    <row r="49" spans="4:11" ht="15.75" x14ac:dyDescent="0.25">
      <c r="D49" s="2">
        <v>48</v>
      </c>
      <c r="E49" s="6"/>
      <c r="F49" s="2"/>
      <c r="G49" s="2"/>
      <c r="H49" s="2"/>
      <c r="I49" s="2" t="str">
        <f t="shared" si="0"/>
        <v/>
      </c>
      <c r="J49" s="3"/>
      <c r="K49" s="5" t="str">
        <f>IFERROR(Tabla3[[#This Row],[USD]]/$B$1,"")</f>
        <v/>
      </c>
    </row>
    <row r="50" spans="4:11" ht="15.75" x14ac:dyDescent="0.25">
      <c r="D50" s="2">
        <v>49</v>
      </c>
      <c r="E50" s="6"/>
      <c r="F50" s="2"/>
      <c r="G50" s="2"/>
      <c r="H50" s="2"/>
      <c r="I50" s="2" t="str">
        <f t="shared" si="0"/>
        <v/>
      </c>
      <c r="J50" s="3"/>
      <c r="K50" s="5" t="str">
        <f>IFERROR(Tabla3[[#This Row],[USD]]/$B$1,"")</f>
        <v/>
      </c>
    </row>
    <row r="51" spans="4:11" ht="15.75" x14ac:dyDescent="0.25">
      <c r="D51" s="2">
        <v>50</v>
      </c>
      <c r="E51" s="6"/>
      <c r="F51" s="2"/>
      <c r="G51" s="2"/>
      <c r="H51" s="2"/>
      <c r="I51" s="2" t="str">
        <f t="shared" si="0"/>
        <v/>
      </c>
      <c r="J51" s="3"/>
      <c r="K51" s="5" t="str">
        <f>IFERROR(Tabla3[[#This Row],[USD]]/$B$1,"")</f>
        <v/>
      </c>
    </row>
    <row r="52" spans="4:11" ht="15.75" x14ac:dyDescent="0.25">
      <c r="D52" s="2">
        <v>51</v>
      </c>
      <c r="E52" s="6"/>
      <c r="F52" s="2"/>
      <c r="G52" s="2"/>
      <c r="H52" s="2"/>
      <c r="I52" s="2" t="str">
        <f t="shared" si="0"/>
        <v/>
      </c>
      <c r="J52" s="3"/>
      <c r="K52" s="5" t="str">
        <f>IFERROR(Tabla3[[#This Row],[USD]]/$B$1,"")</f>
        <v/>
      </c>
    </row>
    <row r="53" spans="4:11" ht="15.75" x14ac:dyDescent="0.25">
      <c r="D53" s="2">
        <v>52</v>
      </c>
      <c r="E53" s="6"/>
      <c r="F53" s="2"/>
      <c r="G53" s="2"/>
      <c r="H53" s="2"/>
      <c r="I53" s="2" t="str">
        <f t="shared" si="0"/>
        <v/>
      </c>
      <c r="J53" s="3"/>
      <c r="K53" s="5" t="str">
        <f>IFERROR(Tabla3[[#This Row],[USD]]/$B$1,"")</f>
        <v/>
      </c>
    </row>
    <row r="54" spans="4:11" ht="15.75" x14ac:dyDescent="0.25">
      <c r="D54" s="2">
        <v>53</v>
      </c>
      <c r="E54" s="6"/>
      <c r="F54" s="2"/>
      <c r="G54" s="2"/>
      <c r="H54" s="2"/>
      <c r="I54" s="2" t="str">
        <f t="shared" si="0"/>
        <v/>
      </c>
      <c r="J54" s="3"/>
      <c r="K54" s="5" t="str">
        <f>IFERROR(Tabla3[[#This Row],[USD]]/$B$1,"")</f>
        <v/>
      </c>
    </row>
    <row r="55" spans="4:11" ht="15.75" x14ac:dyDescent="0.25">
      <c r="D55" s="2">
        <v>54</v>
      </c>
      <c r="E55" s="6"/>
      <c r="F55" s="2"/>
      <c r="G55" s="2"/>
      <c r="H55" s="2"/>
      <c r="I55" s="2" t="str">
        <f t="shared" si="0"/>
        <v/>
      </c>
      <c r="J55" s="3"/>
      <c r="K55" s="5" t="str">
        <f>IFERROR(Tabla3[[#This Row],[USD]]/$B$1,"")</f>
        <v/>
      </c>
    </row>
    <row r="56" spans="4:11" ht="15.75" x14ac:dyDescent="0.25">
      <c r="D56" s="2">
        <v>55</v>
      </c>
      <c r="E56" s="6"/>
      <c r="F56" s="2"/>
      <c r="G56" s="2"/>
      <c r="H56" s="2"/>
      <c r="I56" s="2" t="str">
        <f t="shared" si="0"/>
        <v/>
      </c>
      <c r="J56" s="3"/>
      <c r="K56" s="5" t="str">
        <f>IFERROR(Tabla3[[#This Row],[USD]]/$B$1,"")</f>
        <v/>
      </c>
    </row>
    <row r="57" spans="4:11" ht="15.75" x14ac:dyDescent="0.25">
      <c r="D57" s="2">
        <v>56</v>
      </c>
      <c r="E57" s="6"/>
      <c r="F57" s="2"/>
      <c r="G57" s="2"/>
      <c r="H57" s="2"/>
      <c r="I57" s="2" t="str">
        <f t="shared" si="0"/>
        <v/>
      </c>
      <c r="J57" s="3"/>
      <c r="K57" s="5" t="str">
        <f>IFERROR(Tabla3[[#This Row],[USD]]/$B$1,"")</f>
        <v/>
      </c>
    </row>
    <row r="58" spans="4:11" ht="15.75" x14ac:dyDescent="0.25">
      <c r="D58" s="2">
        <v>57</v>
      </c>
      <c r="E58" s="6"/>
      <c r="F58" s="2"/>
      <c r="G58" s="2"/>
      <c r="H58" s="2"/>
      <c r="I58" s="2" t="str">
        <f t="shared" si="0"/>
        <v/>
      </c>
      <c r="J58" s="3"/>
      <c r="K58" s="5" t="str">
        <f>IFERROR(Tabla3[[#This Row],[USD]]/$B$1,"")</f>
        <v/>
      </c>
    </row>
    <row r="59" spans="4:11" ht="15.75" x14ac:dyDescent="0.25">
      <c r="D59" s="2">
        <v>58</v>
      </c>
      <c r="E59" s="6"/>
      <c r="F59" s="2"/>
      <c r="G59" s="2"/>
      <c r="H59" s="2"/>
      <c r="I59" s="2" t="str">
        <f t="shared" si="0"/>
        <v/>
      </c>
      <c r="J59" s="3"/>
      <c r="K59" s="5" t="str">
        <f>IFERROR(Tabla3[[#This Row],[USD]]/$B$1,"")</f>
        <v/>
      </c>
    </row>
    <row r="60" spans="4:11" ht="15.75" x14ac:dyDescent="0.25">
      <c r="D60" s="2">
        <v>59</v>
      </c>
      <c r="E60" s="6"/>
      <c r="F60" s="2"/>
      <c r="G60" s="2"/>
      <c r="H60" s="2"/>
      <c r="I60" s="2" t="str">
        <f t="shared" si="0"/>
        <v/>
      </c>
      <c r="J60" s="3"/>
      <c r="K60" s="5" t="str">
        <f>IFERROR(Tabla3[[#This Row],[USD]]/$B$1,"")</f>
        <v/>
      </c>
    </row>
    <row r="61" spans="4:11" ht="15.75" x14ac:dyDescent="0.25">
      <c r="D61" s="2">
        <v>60</v>
      </c>
      <c r="E61" s="6"/>
      <c r="F61" s="2"/>
      <c r="G61" s="2"/>
      <c r="H61" s="2"/>
      <c r="I61" s="2" t="str">
        <f t="shared" si="0"/>
        <v/>
      </c>
      <c r="J61" s="3"/>
      <c r="K61" s="5" t="str">
        <f>IFERROR(Tabla3[[#This Row],[USD]]/$B$1,"")</f>
        <v/>
      </c>
    </row>
    <row r="62" spans="4:11" ht="15.75" x14ac:dyDescent="0.25">
      <c r="D62" s="2">
        <v>61</v>
      </c>
      <c r="E62" s="6"/>
      <c r="F62" s="2"/>
      <c r="G62" s="2"/>
      <c r="H62" s="2"/>
      <c r="I62" s="2" t="str">
        <f t="shared" si="0"/>
        <v/>
      </c>
      <c r="J62" s="3"/>
      <c r="K62" s="5" t="str">
        <f>IFERROR(Tabla3[[#This Row],[USD]]/$B$1,"")</f>
        <v/>
      </c>
    </row>
    <row r="63" spans="4:11" ht="15.75" x14ac:dyDescent="0.25">
      <c r="D63" s="2">
        <v>62</v>
      </c>
      <c r="E63" s="6"/>
      <c r="F63" s="2"/>
      <c r="G63" s="2"/>
      <c r="H63" s="2"/>
      <c r="I63" s="2" t="str">
        <f t="shared" si="0"/>
        <v/>
      </c>
      <c r="J63" s="3"/>
      <c r="K63" s="5" t="str">
        <f>IFERROR(Tabla3[[#This Row],[USD]]/$B$1,"")</f>
        <v/>
      </c>
    </row>
    <row r="64" spans="4:11" ht="15.75" x14ac:dyDescent="0.25">
      <c r="D64" s="2">
        <v>63</v>
      </c>
      <c r="E64" s="6"/>
      <c r="F64" s="2"/>
      <c r="G64" s="2"/>
      <c r="H64" s="2"/>
      <c r="I64" s="2" t="str">
        <f t="shared" si="0"/>
        <v/>
      </c>
      <c r="J64" s="3"/>
      <c r="K64" s="5" t="str">
        <f>IFERROR(Tabla3[[#This Row],[USD]]/$B$1,"")</f>
        <v/>
      </c>
    </row>
    <row r="65" spans="4:11" ht="15.75" x14ac:dyDescent="0.25">
      <c r="D65" s="2">
        <v>64</v>
      </c>
      <c r="E65" s="6"/>
      <c r="F65" s="2"/>
      <c r="G65" s="2"/>
      <c r="H65" s="2"/>
      <c r="I65" s="2" t="str">
        <f t="shared" si="0"/>
        <v/>
      </c>
      <c r="J65" s="3"/>
      <c r="K65" s="5" t="str">
        <f>IFERROR(Tabla3[[#This Row],[USD]]/$B$1,"")</f>
        <v/>
      </c>
    </row>
    <row r="66" spans="4:11" ht="15.75" x14ac:dyDescent="0.25">
      <c r="D66" s="2">
        <v>65</v>
      </c>
      <c r="E66" s="6"/>
      <c r="F66" s="2"/>
      <c r="G66" s="2"/>
      <c r="H66" s="2"/>
      <c r="I66" s="2" t="str">
        <f t="shared" si="0"/>
        <v/>
      </c>
      <c r="J66" s="3"/>
      <c r="K66" s="5" t="str">
        <f>IFERROR(Tabla3[[#This Row],[USD]]/$B$1,"")</f>
        <v/>
      </c>
    </row>
    <row r="67" spans="4:11" ht="15.75" x14ac:dyDescent="0.25">
      <c r="D67" s="2">
        <v>66</v>
      </c>
      <c r="E67" s="6"/>
      <c r="F67" s="2"/>
      <c r="G67" s="2"/>
      <c r="H67" s="2"/>
      <c r="I67" s="2" t="str">
        <f t="shared" ref="I67:I130" si="1">IF(J67="","",IF(J67&gt;3,"Ganado",IF(J67&lt;-3,"Perdido","Break Even")))</f>
        <v/>
      </c>
      <c r="J67" s="3"/>
      <c r="K67" s="5" t="str">
        <f>IFERROR(Tabla3[[#This Row],[USD]]/$B$1,"")</f>
        <v/>
      </c>
    </row>
    <row r="68" spans="4:11" ht="15.75" x14ac:dyDescent="0.25">
      <c r="D68" s="2">
        <v>67</v>
      </c>
      <c r="E68" s="6"/>
      <c r="F68" s="2"/>
      <c r="G68" s="2"/>
      <c r="H68" s="2"/>
      <c r="I68" s="2" t="str">
        <f t="shared" si="1"/>
        <v/>
      </c>
      <c r="J68" s="3"/>
      <c r="K68" s="5" t="str">
        <f>IFERROR(Tabla3[[#This Row],[USD]]/$B$1,"")</f>
        <v/>
      </c>
    </row>
    <row r="69" spans="4:11" ht="15.75" x14ac:dyDescent="0.25">
      <c r="D69" s="2">
        <v>68</v>
      </c>
      <c r="E69" s="6"/>
      <c r="F69" s="2"/>
      <c r="G69" s="2"/>
      <c r="H69" s="2"/>
      <c r="I69" s="2" t="str">
        <f t="shared" si="1"/>
        <v/>
      </c>
      <c r="J69" s="3"/>
      <c r="K69" s="5" t="str">
        <f>IFERROR(Tabla3[[#This Row],[USD]]/$B$1,"")</f>
        <v/>
      </c>
    </row>
    <row r="70" spans="4:11" ht="15.75" x14ac:dyDescent="0.25">
      <c r="D70" s="2">
        <v>69</v>
      </c>
      <c r="E70" s="6"/>
      <c r="F70" s="2"/>
      <c r="G70" s="2"/>
      <c r="H70" s="2"/>
      <c r="I70" s="2" t="str">
        <f t="shared" si="1"/>
        <v/>
      </c>
      <c r="J70" s="3"/>
      <c r="K70" s="5" t="str">
        <f>IFERROR(Tabla3[[#This Row],[USD]]/$B$1,"")</f>
        <v/>
      </c>
    </row>
    <row r="71" spans="4:11" ht="15.75" x14ac:dyDescent="0.25">
      <c r="D71" s="2">
        <v>70</v>
      </c>
      <c r="E71" s="6"/>
      <c r="F71" s="2"/>
      <c r="G71" s="2"/>
      <c r="H71" s="2"/>
      <c r="I71" s="2" t="str">
        <f t="shared" si="1"/>
        <v/>
      </c>
      <c r="J71" s="3"/>
      <c r="K71" s="5" t="str">
        <f>IFERROR(Tabla3[[#This Row],[USD]]/$B$1,"")</f>
        <v/>
      </c>
    </row>
    <row r="72" spans="4:11" ht="15.75" x14ac:dyDescent="0.25">
      <c r="D72" s="2">
        <v>71</v>
      </c>
      <c r="E72" s="6"/>
      <c r="F72" s="2"/>
      <c r="G72" s="2"/>
      <c r="H72" s="2"/>
      <c r="I72" s="2" t="str">
        <f t="shared" si="1"/>
        <v/>
      </c>
      <c r="J72" s="3"/>
      <c r="K72" s="5" t="str">
        <f>IFERROR(Tabla3[[#This Row],[USD]]/$B$1,"")</f>
        <v/>
      </c>
    </row>
    <row r="73" spans="4:11" ht="15.75" x14ac:dyDescent="0.25">
      <c r="D73" s="2">
        <v>72</v>
      </c>
      <c r="E73" s="6"/>
      <c r="F73" s="2"/>
      <c r="G73" s="2"/>
      <c r="H73" s="2"/>
      <c r="I73" s="2" t="str">
        <f t="shared" si="1"/>
        <v/>
      </c>
      <c r="J73" s="3"/>
      <c r="K73" s="5" t="str">
        <f>IFERROR(Tabla3[[#This Row],[USD]]/$B$1,"")</f>
        <v/>
      </c>
    </row>
    <row r="74" spans="4:11" ht="15.75" x14ac:dyDescent="0.25">
      <c r="D74" s="2">
        <v>73</v>
      </c>
      <c r="E74" s="6"/>
      <c r="F74" s="2"/>
      <c r="G74" s="2"/>
      <c r="H74" s="2"/>
      <c r="I74" s="2" t="str">
        <f t="shared" si="1"/>
        <v/>
      </c>
      <c r="J74" s="3"/>
      <c r="K74" s="5" t="str">
        <f>IFERROR(Tabla3[[#This Row],[USD]]/$B$1,"")</f>
        <v/>
      </c>
    </row>
    <row r="75" spans="4:11" ht="15.75" x14ac:dyDescent="0.25">
      <c r="D75" s="2">
        <v>74</v>
      </c>
      <c r="E75" s="6"/>
      <c r="F75" s="2"/>
      <c r="G75" s="2"/>
      <c r="H75" s="2"/>
      <c r="I75" s="2" t="str">
        <f t="shared" si="1"/>
        <v/>
      </c>
      <c r="J75" s="3"/>
      <c r="K75" s="5" t="str">
        <f>IFERROR(Tabla3[[#This Row],[USD]]/$B$1,"")</f>
        <v/>
      </c>
    </row>
    <row r="76" spans="4:11" ht="15.75" x14ac:dyDescent="0.25">
      <c r="D76" s="2">
        <v>75</v>
      </c>
      <c r="E76" s="6"/>
      <c r="F76" s="2"/>
      <c r="G76" s="2"/>
      <c r="H76" s="2"/>
      <c r="I76" s="2" t="str">
        <f t="shared" si="1"/>
        <v/>
      </c>
      <c r="J76" s="3"/>
      <c r="K76" s="5" t="str">
        <f>IFERROR(Tabla3[[#This Row],[USD]]/$B$1,"")</f>
        <v/>
      </c>
    </row>
    <row r="77" spans="4:11" ht="15.75" x14ac:dyDescent="0.25">
      <c r="D77" s="2">
        <v>76</v>
      </c>
      <c r="E77" s="6"/>
      <c r="F77" s="2"/>
      <c r="G77" s="2"/>
      <c r="H77" s="2"/>
      <c r="I77" s="2" t="str">
        <f t="shared" si="1"/>
        <v/>
      </c>
      <c r="J77" s="3"/>
      <c r="K77" s="5" t="str">
        <f>IFERROR(Tabla3[[#This Row],[USD]]/$B$1,"")</f>
        <v/>
      </c>
    </row>
    <row r="78" spans="4:11" ht="15.75" x14ac:dyDescent="0.25">
      <c r="D78" s="2">
        <v>77</v>
      </c>
      <c r="E78" s="6"/>
      <c r="F78" s="2"/>
      <c r="G78" s="2"/>
      <c r="H78" s="2"/>
      <c r="I78" s="2" t="str">
        <f t="shared" si="1"/>
        <v/>
      </c>
      <c r="J78" s="3"/>
      <c r="K78" s="5" t="str">
        <f>IFERROR(Tabla3[[#This Row],[USD]]/$B$1,"")</f>
        <v/>
      </c>
    </row>
    <row r="79" spans="4:11" ht="15.75" x14ac:dyDescent="0.25">
      <c r="D79" s="2">
        <v>78</v>
      </c>
      <c r="E79" s="6"/>
      <c r="F79" s="2"/>
      <c r="G79" s="2"/>
      <c r="H79" s="2"/>
      <c r="I79" s="2" t="str">
        <f t="shared" si="1"/>
        <v/>
      </c>
      <c r="J79" s="3"/>
      <c r="K79" s="5" t="str">
        <f>IFERROR(Tabla3[[#This Row],[USD]]/$B$1,"")</f>
        <v/>
      </c>
    </row>
    <row r="80" spans="4:11" ht="15.75" x14ac:dyDescent="0.25">
      <c r="D80" s="2">
        <v>79</v>
      </c>
      <c r="E80" s="6"/>
      <c r="F80" s="2"/>
      <c r="G80" s="2"/>
      <c r="H80" s="2"/>
      <c r="I80" s="2" t="str">
        <f t="shared" si="1"/>
        <v/>
      </c>
      <c r="J80" s="3"/>
      <c r="K80" s="5" t="str">
        <f>IFERROR(Tabla3[[#This Row],[USD]]/$B$1,"")</f>
        <v/>
      </c>
    </row>
    <row r="81" spans="4:11" ht="15.75" x14ac:dyDescent="0.25">
      <c r="D81" s="2">
        <v>80</v>
      </c>
      <c r="E81" s="6"/>
      <c r="F81" s="2"/>
      <c r="G81" s="2"/>
      <c r="H81" s="2"/>
      <c r="I81" s="2" t="str">
        <f t="shared" si="1"/>
        <v/>
      </c>
      <c r="J81" s="3"/>
      <c r="K81" s="5" t="str">
        <f>IFERROR(Tabla3[[#This Row],[USD]]/$B$1,"")</f>
        <v/>
      </c>
    </row>
    <row r="82" spans="4:11" ht="15.75" x14ac:dyDescent="0.25">
      <c r="D82" s="2">
        <v>81</v>
      </c>
      <c r="E82" s="6"/>
      <c r="F82" s="2"/>
      <c r="G82" s="2"/>
      <c r="H82" s="2"/>
      <c r="I82" s="2" t="str">
        <f t="shared" si="1"/>
        <v/>
      </c>
      <c r="J82" s="3"/>
      <c r="K82" s="5" t="str">
        <f>IFERROR(Tabla3[[#This Row],[USD]]/$B$1,"")</f>
        <v/>
      </c>
    </row>
    <row r="83" spans="4:11" ht="15.75" x14ac:dyDescent="0.25">
      <c r="D83" s="2">
        <v>82</v>
      </c>
      <c r="E83" s="6"/>
      <c r="F83" s="2"/>
      <c r="G83" s="2"/>
      <c r="H83" s="2"/>
      <c r="I83" s="2" t="str">
        <f t="shared" si="1"/>
        <v/>
      </c>
      <c r="J83" s="3"/>
      <c r="K83" s="5" t="str">
        <f>IFERROR(Tabla3[[#This Row],[USD]]/$B$1,"")</f>
        <v/>
      </c>
    </row>
    <row r="84" spans="4:11" ht="15.75" x14ac:dyDescent="0.25">
      <c r="D84" s="2">
        <v>83</v>
      </c>
      <c r="E84" s="6"/>
      <c r="F84" s="2"/>
      <c r="G84" s="2"/>
      <c r="H84" s="2"/>
      <c r="I84" s="2" t="str">
        <f t="shared" si="1"/>
        <v/>
      </c>
      <c r="J84" s="3"/>
      <c r="K84" s="5" t="str">
        <f>IFERROR(Tabla3[[#This Row],[USD]]/$B$1,"")</f>
        <v/>
      </c>
    </row>
    <row r="85" spans="4:11" ht="15.75" x14ac:dyDescent="0.25">
      <c r="D85" s="2">
        <v>84</v>
      </c>
      <c r="E85" s="6"/>
      <c r="F85" s="2"/>
      <c r="G85" s="2"/>
      <c r="H85" s="2"/>
      <c r="I85" s="2" t="str">
        <f t="shared" si="1"/>
        <v/>
      </c>
      <c r="J85" s="3"/>
      <c r="K85" s="5" t="str">
        <f>IFERROR(Tabla3[[#This Row],[USD]]/$B$1,"")</f>
        <v/>
      </c>
    </row>
    <row r="86" spans="4:11" ht="15.75" x14ac:dyDescent="0.25">
      <c r="D86" s="2">
        <v>85</v>
      </c>
      <c r="E86" s="6"/>
      <c r="F86" s="2"/>
      <c r="G86" s="2"/>
      <c r="H86" s="2"/>
      <c r="I86" s="2" t="str">
        <f t="shared" si="1"/>
        <v/>
      </c>
      <c r="J86" s="3"/>
      <c r="K86" s="5" t="str">
        <f>IFERROR(Tabla3[[#This Row],[USD]]/$B$1,"")</f>
        <v/>
      </c>
    </row>
    <row r="87" spans="4:11" ht="15.75" x14ac:dyDescent="0.25">
      <c r="D87" s="2">
        <v>86</v>
      </c>
      <c r="E87" s="6"/>
      <c r="F87" s="2"/>
      <c r="G87" s="2"/>
      <c r="H87" s="2"/>
      <c r="I87" s="2" t="str">
        <f t="shared" si="1"/>
        <v/>
      </c>
      <c r="J87" s="3"/>
      <c r="K87" s="5" t="str">
        <f>IFERROR(Tabla3[[#This Row],[USD]]/$B$1,"")</f>
        <v/>
      </c>
    </row>
    <row r="88" spans="4:11" ht="15.75" x14ac:dyDescent="0.25">
      <c r="D88" s="2">
        <v>87</v>
      </c>
      <c r="E88" s="6"/>
      <c r="F88" s="2"/>
      <c r="G88" s="2"/>
      <c r="H88" s="2"/>
      <c r="I88" s="2" t="str">
        <f t="shared" si="1"/>
        <v/>
      </c>
      <c r="J88" s="3"/>
      <c r="K88" s="5" t="str">
        <f>IFERROR(Tabla3[[#This Row],[USD]]/$B$1,"")</f>
        <v/>
      </c>
    </row>
    <row r="89" spans="4:11" ht="15.75" x14ac:dyDescent="0.25">
      <c r="D89" s="2">
        <v>88</v>
      </c>
      <c r="E89" s="6"/>
      <c r="F89" s="2"/>
      <c r="G89" s="2"/>
      <c r="H89" s="2"/>
      <c r="I89" s="2" t="str">
        <f t="shared" si="1"/>
        <v/>
      </c>
      <c r="J89" s="3"/>
      <c r="K89" s="5" t="str">
        <f>IFERROR(Tabla3[[#This Row],[USD]]/$B$1,"")</f>
        <v/>
      </c>
    </row>
    <row r="90" spans="4:11" ht="15.75" x14ac:dyDescent="0.25">
      <c r="D90" s="2">
        <v>89</v>
      </c>
      <c r="E90" s="6"/>
      <c r="F90" s="2"/>
      <c r="G90" s="2"/>
      <c r="H90" s="2"/>
      <c r="I90" s="2" t="str">
        <f t="shared" si="1"/>
        <v/>
      </c>
      <c r="J90" s="3"/>
      <c r="K90" s="5" t="str">
        <f>IFERROR(Tabla3[[#This Row],[USD]]/$B$1,"")</f>
        <v/>
      </c>
    </row>
    <row r="91" spans="4:11" ht="15.75" x14ac:dyDescent="0.25">
      <c r="D91" s="2">
        <v>90</v>
      </c>
      <c r="E91" s="6"/>
      <c r="F91" s="2"/>
      <c r="G91" s="2"/>
      <c r="H91" s="2"/>
      <c r="I91" s="2" t="str">
        <f t="shared" si="1"/>
        <v/>
      </c>
      <c r="J91" s="3"/>
      <c r="K91" s="5" t="str">
        <f>IFERROR(Tabla3[[#This Row],[USD]]/$B$1,"")</f>
        <v/>
      </c>
    </row>
    <row r="92" spans="4:11" ht="15.75" x14ac:dyDescent="0.25">
      <c r="D92" s="2">
        <v>91</v>
      </c>
      <c r="E92" s="6"/>
      <c r="F92" s="2"/>
      <c r="G92" s="2"/>
      <c r="H92" s="2"/>
      <c r="I92" s="2" t="str">
        <f t="shared" si="1"/>
        <v/>
      </c>
      <c r="J92" s="3"/>
      <c r="K92" s="5" t="str">
        <f>IFERROR(Tabla3[[#This Row],[USD]]/$B$1,"")</f>
        <v/>
      </c>
    </row>
    <row r="93" spans="4:11" ht="15.75" x14ac:dyDescent="0.25">
      <c r="D93" s="2">
        <v>92</v>
      </c>
      <c r="E93" s="6"/>
      <c r="F93" s="2"/>
      <c r="G93" s="2"/>
      <c r="H93" s="2"/>
      <c r="I93" s="2" t="str">
        <f t="shared" si="1"/>
        <v/>
      </c>
      <c r="J93" s="3"/>
      <c r="K93" s="5" t="str">
        <f>IFERROR(Tabla3[[#This Row],[USD]]/$B$1,"")</f>
        <v/>
      </c>
    </row>
    <row r="94" spans="4:11" ht="15.75" x14ac:dyDescent="0.25">
      <c r="D94" s="2">
        <v>93</v>
      </c>
      <c r="E94" s="6"/>
      <c r="F94" s="2"/>
      <c r="G94" s="2"/>
      <c r="H94" s="2"/>
      <c r="I94" s="2" t="str">
        <f t="shared" si="1"/>
        <v/>
      </c>
      <c r="J94" s="3"/>
      <c r="K94" s="5" t="str">
        <f>IFERROR(Tabla3[[#This Row],[USD]]/$B$1,"")</f>
        <v/>
      </c>
    </row>
    <row r="95" spans="4:11" ht="15.75" x14ac:dyDescent="0.25">
      <c r="D95" s="2">
        <v>94</v>
      </c>
      <c r="E95" s="6"/>
      <c r="F95" s="2"/>
      <c r="G95" s="2"/>
      <c r="H95" s="2"/>
      <c r="I95" s="2" t="str">
        <f t="shared" si="1"/>
        <v/>
      </c>
      <c r="J95" s="3"/>
      <c r="K95" s="5" t="str">
        <f>IFERROR(Tabla3[[#This Row],[USD]]/$B$1,"")</f>
        <v/>
      </c>
    </row>
    <row r="96" spans="4:11" ht="15.75" x14ac:dyDescent="0.25">
      <c r="D96" s="2">
        <v>95</v>
      </c>
      <c r="E96" s="6"/>
      <c r="F96" s="2"/>
      <c r="G96" s="2"/>
      <c r="H96" s="2"/>
      <c r="I96" s="2" t="str">
        <f t="shared" si="1"/>
        <v/>
      </c>
      <c r="J96" s="3"/>
      <c r="K96" s="5" t="str">
        <f>IFERROR(Tabla3[[#This Row],[USD]]/$B$1,"")</f>
        <v/>
      </c>
    </row>
    <row r="97" spans="4:11" ht="15.75" x14ac:dyDescent="0.25">
      <c r="D97" s="2">
        <v>96</v>
      </c>
      <c r="E97" s="6"/>
      <c r="F97" s="2"/>
      <c r="G97" s="2"/>
      <c r="H97" s="2"/>
      <c r="I97" s="2" t="str">
        <f t="shared" si="1"/>
        <v/>
      </c>
      <c r="J97" s="3"/>
      <c r="K97" s="5" t="str">
        <f>IFERROR(Tabla3[[#This Row],[USD]]/$B$1,"")</f>
        <v/>
      </c>
    </row>
    <row r="98" spans="4:11" ht="15.75" x14ac:dyDescent="0.25">
      <c r="D98" s="2">
        <v>97</v>
      </c>
      <c r="E98" s="6"/>
      <c r="F98" s="2"/>
      <c r="G98" s="2"/>
      <c r="H98" s="2"/>
      <c r="I98" s="2" t="str">
        <f t="shared" si="1"/>
        <v/>
      </c>
      <c r="J98" s="3"/>
      <c r="K98" s="5" t="str">
        <f>IFERROR(Tabla3[[#This Row],[USD]]/$B$1,"")</f>
        <v/>
      </c>
    </row>
    <row r="99" spans="4:11" ht="15.75" x14ac:dyDescent="0.25">
      <c r="D99" s="2">
        <v>98</v>
      </c>
      <c r="E99" s="6"/>
      <c r="F99" s="2"/>
      <c r="G99" s="2"/>
      <c r="H99" s="2"/>
      <c r="I99" s="2" t="str">
        <f t="shared" si="1"/>
        <v/>
      </c>
      <c r="J99" s="3"/>
      <c r="K99" s="5" t="str">
        <f>IFERROR(Tabla3[[#This Row],[USD]]/$B$1,"")</f>
        <v/>
      </c>
    </row>
    <row r="100" spans="4:11" ht="15.75" x14ac:dyDescent="0.25">
      <c r="D100" s="2">
        <v>99</v>
      </c>
      <c r="E100" s="6"/>
      <c r="F100" s="2"/>
      <c r="G100" s="2"/>
      <c r="H100" s="2"/>
      <c r="I100" s="2" t="str">
        <f t="shared" si="1"/>
        <v/>
      </c>
      <c r="J100" s="3"/>
      <c r="K100" s="5" t="str">
        <f>IFERROR(Tabla3[[#This Row],[USD]]/$B$1,"")</f>
        <v/>
      </c>
    </row>
    <row r="101" spans="4:11" ht="15.75" x14ac:dyDescent="0.25">
      <c r="D101" s="2">
        <v>100</v>
      </c>
      <c r="E101" s="6"/>
      <c r="F101" s="2"/>
      <c r="G101" s="2"/>
      <c r="H101" s="2"/>
      <c r="I101" s="2" t="str">
        <f t="shared" si="1"/>
        <v/>
      </c>
      <c r="J101" s="3"/>
      <c r="K101" s="5" t="str">
        <f>IFERROR(Tabla3[[#This Row],[USD]]/$B$1,"")</f>
        <v/>
      </c>
    </row>
    <row r="102" spans="4:11" ht="15.75" x14ac:dyDescent="0.25">
      <c r="D102" s="2">
        <v>101</v>
      </c>
      <c r="E102" s="6"/>
      <c r="F102" s="2"/>
      <c r="G102" s="2"/>
      <c r="H102" s="2"/>
      <c r="I102" s="2" t="str">
        <f t="shared" si="1"/>
        <v/>
      </c>
      <c r="J102" s="3"/>
      <c r="K102" s="5" t="str">
        <f>IFERROR(Tabla3[[#This Row],[USD]]/$B$1,"")</f>
        <v/>
      </c>
    </row>
    <row r="103" spans="4:11" ht="15.75" x14ac:dyDescent="0.25">
      <c r="D103" s="2">
        <v>102</v>
      </c>
      <c r="E103" s="6"/>
      <c r="F103" s="2"/>
      <c r="G103" s="2"/>
      <c r="H103" s="2"/>
      <c r="I103" s="2" t="str">
        <f t="shared" si="1"/>
        <v/>
      </c>
      <c r="J103" s="3"/>
      <c r="K103" s="5" t="str">
        <f>IFERROR(Tabla3[[#This Row],[USD]]/$B$1,"")</f>
        <v/>
      </c>
    </row>
    <row r="104" spans="4:11" ht="15.75" x14ac:dyDescent="0.25">
      <c r="D104" s="2">
        <v>103</v>
      </c>
      <c r="E104" s="6"/>
      <c r="F104" s="2"/>
      <c r="G104" s="2"/>
      <c r="H104" s="2"/>
      <c r="I104" s="2" t="str">
        <f t="shared" si="1"/>
        <v/>
      </c>
      <c r="J104" s="3"/>
      <c r="K104" s="5" t="str">
        <f>IFERROR(Tabla3[[#This Row],[USD]]/$B$1,"")</f>
        <v/>
      </c>
    </row>
    <row r="105" spans="4:11" ht="15.75" x14ac:dyDescent="0.25">
      <c r="D105" s="2">
        <v>104</v>
      </c>
      <c r="E105" s="6"/>
      <c r="F105" s="2"/>
      <c r="G105" s="2"/>
      <c r="H105" s="2"/>
      <c r="I105" s="2" t="str">
        <f t="shared" si="1"/>
        <v/>
      </c>
      <c r="J105" s="3"/>
      <c r="K105" s="5" t="str">
        <f>IFERROR(Tabla3[[#This Row],[USD]]/$B$1,"")</f>
        <v/>
      </c>
    </row>
    <row r="106" spans="4:11" ht="15.75" x14ac:dyDescent="0.25">
      <c r="D106" s="2">
        <v>105</v>
      </c>
      <c r="E106" s="6"/>
      <c r="F106" s="2"/>
      <c r="G106" s="2"/>
      <c r="H106" s="2"/>
      <c r="I106" s="2" t="str">
        <f t="shared" si="1"/>
        <v/>
      </c>
      <c r="J106" s="3"/>
      <c r="K106" s="5" t="str">
        <f>IFERROR(Tabla3[[#This Row],[USD]]/$B$1,"")</f>
        <v/>
      </c>
    </row>
    <row r="107" spans="4:11" ht="15.75" x14ac:dyDescent="0.25">
      <c r="D107" s="2">
        <v>106</v>
      </c>
      <c r="E107" s="6"/>
      <c r="F107" s="2"/>
      <c r="G107" s="2"/>
      <c r="H107" s="2"/>
      <c r="I107" s="2" t="str">
        <f t="shared" si="1"/>
        <v/>
      </c>
      <c r="J107" s="3"/>
      <c r="K107" s="5" t="str">
        <f>IFERROR(Tabla3[[#This Row],[USD]]/$B$1,"")</f>
        <v/>
      </c>
    </row>
    <row r="108" spans="4:11" ht="15.75" x14ac:dyDescent="0.25">
      <c r="D108" s="2">
        <v>107</v>
      </c>
      <c r="E108" s="6"/>
      <c r="F108" s="2"/>
      <c r="G108" s="2"/>
      <c r="H108" s="2"/>
      <c r="I108" s="2" t="str">
        <f t="shared" si="1"/>
        <v/>
      </c>
      <c r="J108" s="3"/>
      <c r="K108" s="5" t="str">
        <f>IFERROR(Tabla3[[#This Row],[USD]]/$B$1,"")</f>
        <v/>
      </c>
    </row>
    <row r="109" spans="4:11" ht="15.75" x14ac:dyDescent="0.25">
      <c r="D109" s="2">
        <v>108</v>
      </c>
      <c r="E109" s="6"/>
      <c r="F109" s="2"/>
      <c r="G109" s="2"/>
      <c r="H109" s="2"/>
      <c r="I109" s="2" t="str">
        <f t="shared" si="1"/>
        <v/>
      </c>
      <c r="J109" s="3"/>
      <c r="K109" s="5" t="str">
        <f>IFERROR(Tabla3[[#This Row],[USD]]/$B$1,"")</f>
        <v/>
      </c>
    </row>
    <row r="110" spans="4:11" ht="15.75" x14ac:dyDescent="0.25">
      <c r="D110" s="2">
        <v>109</v>
      </c>
      <c r="E110" s="6"/>
      <c r="F110" s="2"/>
      <c r="G110" s="2"/>
      <c r="H110" s="2"/>
      <c r="I110" s="2" t="str">
        <f t="shared" si="1"/>
        <v/>
      </c>
      <c r="J110" s="3"/>
      <c r="K110" s="5" t="str">
        <f>IFERROR(Tabla3[[#This Row],[USD]]/$B$1,"")</f>
        <v/>
      </c>
    </row>
    <row r="111" spans="4:11" ht="15.75" x14ac:dyDescent="0.25">
      <c r="D111" s="2">
        <v>110</v>
      </c>
      <c r="E111" s="6"/>
      <c r="F111" s="2"/>
      <c r="G111" s="2"/>
      <c r="H111" s="2"/>
      <c r="I111" s="2" t="str">
        <f t="shared" si="1"/>
        <v/>
      </c>
      <c r="J111" s="3"/>
      <c r="K111" s="5" t="str">
        <f>IFERROR(Tabla3[[#This Row],[USD]]/$B$1,"")</f>
        <v/>
      </c>
    </row>
    <row r="112" spans="4:11" ht="15.75" x14ac:dyDescent="0.25">
      <c r="D112" s="2">
        <v>111</v>
      </c>
      <c r="E112" s="6"/>
      <c r="F112" s="2"/>
      <c r="G112" s="2"/>
      <c r="H112" s="2"/>
      <c r="I112" s="2" t="str">
        <f t="shared" si="1"/>
        <v/>
      </c>
      <c r="J112" s="3"/>
      <c r="K112" s="5" t="str">
        <f>IFERROR(Tabla3[[#This Row],[USD]]/$B$1,"")</f>
        <v/>
      </c>
    </row>
    <row r="113" spans="4:11" ht="15.75" x14ac:dyDescent="0.25">
      <c r="D113" s="2">
        <v>112</v>
      </c>
      <c r="E113" s="6"/>
      <c r="F113" s="2"/>
      <c r="G113" s="2"/>
      <c r="H113" s="2"/>
      <c r="I113" s="2" t="str">
        <f t="shared" si="1"/>
        <v/>
      </c>
      <c r="J113" s="3"/>
      <c r="K113" s="5" t="str">
        <f>IFERROR(Tabla3[[#This Row],[USD]]/$B$1,"")</f>
        <v/>
      </c>
    </row>
    <row r="114" spans="4:11" ht="15.75" x14ac:dyDescent="0.25">
      <c r="D114" s="2">
        <v>113</v>
      </c>
      <c r="E114" s="6"/>
      <c r="F114" s="2"/>
      <c r="G114" s="2"/>
      <c r="H114" s="2"/>
      <c r="I114" s="2" t="str">
        <f t="shared" si="1"/>
        <v/>
      </c>
      <c r="J114" s="3"/>
      <c r="K114" s="5" t="str">
        <f>IFERROR(Tabla3[[#This Row],[USD]]/$B$1,"")</f>
        <v/>
      </c>
    </row>
    <row r="115" spans="4:11" ht="15.75" x14ac:dyDescent="0.25">
      <c r="D115" s="2">
        <v>114</v>
      </c>
      <c r="E115" s="6"/>
      <c r="F115" s="2"/>
      <c r="G115" s="2"/>
      <c r="H115" s="2"/>
      <c r="I115" s="2" t="str">
        <f t="shared" si="1"/>
        <v/>
      </c>
      <c r="J115" s="3"/>
      <c r="K115" s="5" t="str">
        <f>IFERROR(Tabla3[[#This Row],[USD]]/$B$1,"")</f>
        <v/>
      </c>
    </row>
    <row r="116" spans="4:11" ht="15.75" x14ac:dyDescent="0.25">
      <c r="D116" s="2">
        <v>115</v>
      </c>
      <c r="E116" s="6"/>
      <c r="F116" s="2"/>
      <c r="G116" s="2"/>
      <c r="H116" s="2"/>
      <c r="I116" s="2" t="str">
        <f t="shared" si="1"/>
        <v/>
      </c>
      <c r="J116" s="3"/>
      <c r="K116" s="5" t="str">
        <f>IFERROR(Tabla3[[#This Row],[USD]]/$B$1,"")</f>
        <v/>
      </c>
    </row>
    <row r="117" spans="4:11" ht="15.75" x14ac:dyDescent="0.25">
      <c r="D117" s="2">
        <v>116</v>
      </c>
      <c r="E117" s="6"/>
      <c r="F117" s="2"/>
      <c r="G117" s="2"/>
      <c r="H117" s="2"/>
      <c r="I117" s="2" t="str">
        <f t="shared" si="1"/>
        <v/>
      </c>
      <c r="J117" s="3"/>
      <c r="K117" s="5" t="str">
        <f>IFERROR(Tabla3[[#This Row],[USD]]/$B$1,"")</f>
        <v/>
      </c>
    </row>
    <row r="118" spans="4:11" ht="15.75" x14ac:dyDescent="0.25">
      <c r="D118" s="2">
        <v>117</v>
      </c>
      <c r="E118" s="6"/>
      <c r="F118" s="2"/>
      <c r="G118" s="2"/>
      <c r="H118" s="2"/>
      <c r="I118" s="2" t="str">
        <f t="shared" si="1"/>
        <v/>
      </c>
      <c r="J118" s="3"/>
      <c r="K118" s="5" t="str">
        <f>IFERROR(Tabla3[[#This Row],[USD]]/$B$1,"")</f>
        <v/>
      </c>
    </row>
    <row r="119" spans="4:11" ht="15.75" x14ac:dyDescent="0.25">
      <c r="D119" s="2">
        <v>118</v>
      </c>
      <c r="E119" s="6"/>
      <c r="F119" s="2"/>
      <c r="G119" s="2"/>
      <c r="H119" s="2"/>
      <c r="I119" s="2" t="str">
        <f t="shared" si="1"/>
        <v/>
      </c>
      <c r="J119" s="3"/>
      <c r="K119" s="5" t="str">
        <f>IFERROR(Tabla3[[#This Row],[USD]]/$B$1,"")</f>
        <v/>
      </c>
    </row>
    <row r="120" spans="4:11" ht="15.75" x14ac:dyDescent="0.25">
      <c r="D120" s="2">
        <v>119</v>
      </c>
      <c r="E120" s="6"/>
      <c r="F120" s="2"/>
      <c r="G120" s="2"/>
      <c r="H120" s="2"/>
      <c r="I120" s="2" t="str">
        <f t="shared" si="1"/>
        <v/>
      </c>
      <c r="J120" s="3"/>
      <c r="K120" s="5" t="str">
        <f>IFERROR(Tabla3[[#This Row],[USD]]/$B$1,"")</f>
        <v/>
      </c>
    </row>
    <row r="121" spans="4:11" ht="15.75" x14ac:dyDescent="0.25">
      <c r="D121" s="2">
        <v>120</v>
      </c>
      <c r="E121" s="6"/>
      <c r="F121" s="2"/>
      <c r="G121" s="2"/>
      <c r="H121" s="2"/>
      <c r="I121" s="2" t="str">
        <f t="shared" si="1"/>
        <v/>
      </c>
      <c r="J121" s="3"/>
      <c r="K121" s="5" t="str">
        <f>IFERROR(Tabla3[[#This Row],[USD]]/$B$1,"")</f>
        <v/>
      </c>
    </row>
    <row r="122" spans="4:11" ht="15.75" x14ac:dyDescent="0.25">
      <c r="D122" s="2">
        <v>121</v>
      </c>
      <c r="E122" s="6"/>
      <c r="F122" s="2"/>
      <c r="G122" s="2"/>
      <c r="H122" s="2"/>
      <c r="I122" s="2" t="str">
        <f t="shared" si="1"/>
        <v/>
      </c>
      <c r="J122" s="3"/>
      <c r="K122" s="5" t="str">
        <f>IFERROR(Tabla3[[#This Row],[USD]]/$B$1,"")</f>
        <v/>
      </c>
    </row>
    <row r="123" spans="4:11" ht="15.75" x14ac:dyDescent="0.25">
      <c r="D123" s="2">
        <v>122</v>
      </c>
      <c r="E123" s="6"/>
      <c r="F123" s="2"/>
      <c r="G123" s="2"/>
      <c r="H123" s="2"/>
      <c r="I123" s="2" t="str">
        <f t="shared" si="1"/>
        <v/>
      </c>
      <c r="J123" s="3"/>
      <c r="K123" s="5" t="str">
        <f>IFERROR(Tabla3[[#This Row],[USD]]/$B$1,"")</f>
        <v/>
      </c>
    </row>
    <row r="124" spans="4:11" ht="15.75" x14ac:dyDescent="0.25">
      <c r="D124" s="2">
        <v>123</v>
      </c>
      <c r="E124" s="6"/>
      <c r="F124" s="2"/>
      <c r="G124" s="2"/>
      <c r="H124" s="2"/>
      <c r="I124" s="2" t="str">
        <f t="shared" si="1"/>
        <v/>
      </c>
      <c r="J124" s="3"/>
      <c r="K124" s="5" t="str">
        <f>IFERROR(Tabla3[[#This Row],[USD]]/$B$1,"")</f>
        <v/>
      </c>
    </row>
    <row r="125" spans="4:11" ht="15.75" x14ac:dyDescent="0.25">
      <c r="D125" s="2">
        <v>124</v>
      </c>
      <c r="E125" s="6"/>
      <c r="F125" s="2"/>
      <c r="G125" s="2"/>
      <c r="H125" s="2"/>
      <c r="I125" s="2" t="str">
        <f t="shared" si="1"/>
        <v/>
      </c>
      <c r="J125" s="3"/>
      <c r="K125" s="5" t="str">
        <f>IFERROR(Tabla3[[#This Row],[USD]]/$B$1,"")</f>
        <v/>
      </c>
    </row>
    <row r="126" spans="4:11" ht="15.75" x14ac:dyDescent="0.25">
      <c r="D126" s="2">
        <v>125</v>
      </c>
      <c r="E126" s="6"/>
      <c r="F126" s="2"/>
      <c r="G126" s="2"/>
      <c r="H126" s="2"/>
      <c r="I126" s="2" t="str">
        <f t="shared" si="1"/>
        <v/>
      </c>
      <c r="J126" s="3"/>
      <c r="K126" s="5" t="str">
        <f>IFERROR(Tabla3[[#This Row],[USD]]/$B$1,"")</f>
        <v/>
      </c>
    </row>
    <row r="127" spans="4:11" ht="15.75" x14ac:dyDescent="0.25">
      <c r="D127" s="2">
        <v>126</v>
      </c>
      <c r="E127" s="6"/>
      <c r="F127" s="2"/>
      <c r="G127" s="2"/>
      <c r="H127" s="2"/>
      <c r="I127" s="2" t="str">
        <f t="shared" si="1"/>
        <v/>
      </c>
      <c r="J127" s="3"/>
      <c r="K127" s="5" t="str">
        <f>IFERROR(Tabla3[[#This Row],[USD]]/$B$1,"")</f>
        <v/>
      </c>
    </row>
    <row r="128" spans="4:11" ht="15.75" x14ac:dyDescent="0.25">
      <c r="D128" s="2">
        <v>127</v>
      </c>
      <c r="E128" s="6"/>
      <c r="F128" s="2"/>
      <c r="G128" s="2"/>
      <c r="H128" s="2"/>
      <c r="I128" s="2" t="str">
        <f t="shared" si="1"/>
        <v/>
      </c>
      <c r="J128" s="3"/>
      <c r="K128" s="5" t="str">
        <f>IFERROR(Tabla3[[#This Row],[USD]]/$B$1,"")</f>
        <v/>
      </c>
    </row>
    <row r="129" spans="4:11" ht="15.75" x14ac:dyDescent="0.25">
      <c r="D129" s="2">
        <v>128</v>
      </c>
      <c r="E129" s="6"/>
      <c r="F129" s="2"/>
      <c r="G129" s="2"/>
      <c r="H129" s="2"/>
      <c r="I129" s="2" t="str">
        <f t="shared" si="1"/>
        <v/>
      </c>
      <c r="J129" s="3"/>
      <c r="K129" s="5" t="str">
        <f>IFERROR(Tabla3[[#This Row],[USD]]/$B$1,"")</f>
        <v/>
      </c>
    </row>
    <row r="130" spans="4:11" ht="15.75" x14ac:dyDescent="0.25">
      <c r="D130" s="2">
        <v>129</v>
      </c>
      <c r="E130" s="6"/>
      <c r="F130" s="2"/>
      <c r="G130" s="2"/>
      <c r="H130" s="2"/>
      <c r="I130" s="2" t="str">
        <f t="shared" si="1"/>
        <v/>
      </c>
      <c r="J130" s="3"/>
      <c r="K130" s="5" t="str">
        <f>IFERROR(Tabla3[[#This Row],[USD]]/$B$1,"")</f>
        <v/>
      </c>
    </row>
    <row r="131" spans="4:11" ht="15.75" x14ac:dyDescent="0.25">
      <c r="D131" s="2">
        <v>130</v>
      </c>
      <c r="E131" s="6"/>
      <c r="F131" s="2"/>
      <c r="G131" s="2"/>
      <c r="H131" s="2"/>
      <c r="I131" s="2" t="str">
        <f t="shared" ref="I131:I194" si="2">IF(J131="","",IF(J131&gt;3,"Ganado",IF(J131&lt;-3,"Perdido","Break Even")))</f>
        <v/>
      </c>
      <c r="J131" s="3"/>
      <c r="K131" s="5" t="str">
        <f>IFERROR(Tabla3[[#This Row],[USD]]/$B$1,"")</f>
        <v/>
      </c>
    </row>
    <row r="132" spans="4:11" ht="15.75" x14ac:dyDescent="0.25">
      <c r="D132" s="2">
        <v>131</v>
      </c>
      <c r="E132" s="6"/>
      <c r="F132" s="2"/>
      <c r="G132" s="2"/>
      <c r="H132" s="2"/>
      <c r="I132" s="2" t="str">
        <f t="shared" si="2"/>
        <v/>
      </c>
      <c r="J132" s="3"/>
      <c r="K132" s="5" t="str">
        <f>IFERROR(Tabla3[[#This Row],[USD]]/$B$1,"")</f>
        <v/>
      </c>
    </row>
    <row r="133" spans="4:11" ht="15.75" x14ac:dyDescent="0.25">
      <c r="D133" s="2">
        <v>132</v>
      </c>
      <c r="E133" s="6"/>
      <c r="F133" s="2"/>
      <c r="G133" s="2"/>
      <c r="H133" s="2"/>
      <c r="I133" s="2" t="str">
        <f t="shared" si="2"/>
        <v/>
      </c>
      <c r="J133" s="3"/>
      <c r="K133" s="5" t="str">
        <f>IFERROR(Tabla3[[#This Row],[USD]]/$B$1,"")</f>
        <v/>
      </c>
    </row>
    <row r="134" spans="4:11" ht="15.75" x14ac:dyDescent="0.25">
      <c r="D134" s="2">
        <v>133</v>
      </c>
      <c r="E134" s="6"/>
      <c r="F134" s="2"/>
      <c r="G134" s="2"/>
      <c r="H134" s="2"/>
      <c r="I134" s="2" t="str">
        <f t="shared" si="2"/>
        <v/>
      </c>
      <c r="J134" s="3"/>
      <c r="K134" s="5" t="str">
        <f>IFERROR(Tabla3[[#This Row],[USD]]/$B$1,"")</f>
        <v/>
      </c>
    </row>
    <row r="135" spans="4:11" ht="15.75" x14ac:dyDescent="0.25">
      <c r="D135" s="2">
        <v>134</v>
      </c>
      <c r="E135" s="6"/>
      <c r="F135" s="2"/>
      <c r="G135" s="2"/>
      <c r="H135" s="2"/>
      <c r="I135" s="2" t="str">
        <f t="shared" si="2"/>
        <v/>
      </c>
      <c r="J135" s="3"/>
      <c r="K135" s="5" t="str">
        <f>IFERROR(Tabla3[[#This Row],[USD]]/$B$1,"")</f>
        <v/>
      </c>
    </row>
    <row r="136" spans="4:11" ht="15.75" x14ac:dyDescent="0.25">
      <c r="D136" s="2">
        <v>135</v>
      </c>
      <c r="E136" s="6"/>
      <c r="F136" s="2"/>
      <c r="G136" s="2"/>
      <c r="H136" s="2"/>
      <c r="I136" s="2" t="str">
        <f t="shared" si="2"/>
        <v/>
      </c>
      <c r="J136" s="3"/>
      <c r="K136" s="5" t="str">
        <f>IFERROR(Tabla3[[#This Row],[USD]]/$B$1,"")</f>
        <v/>
      </c>
    </row>
    <row r="137" spans="4:11" ht="15.75" x14ac:dyDescent="0.25">
      <c r="D137" s="2">
        <v>136</v>
      </c>
      <c r="E137" s="6"/>
      <c r="F137" s="2"/>
      <c r="G137" s="2"/>
      <c r="H137" s="2"/>
      <c r="I137" s="2" t="str">
        <f t="shared" si="2"/>
        <v/>
      </c>
      <c r="J137" s="3"/>
      <c r="K137" s="5" t="str">
        <f>IFERROR(Tabla3[[#This Row],[USD]]/$B$1,"")</f>
        <v/>
      </c>
    </row>
    <row r="138" spans="4:11" ht="15.75" x14ac:dyDescent="0.25">
      <c r="D138" s="2">
        <v>137</v>
      </c>
      <c r="E138" s="6"/>
      <c r="F138" s="2"/>
      <c r="G138" s="2"/>
      <c r="H138" s="2"/>
      <c r="I138" s="2" t="str">
        <f t="shared" si="2"/>
        <v/>
      </c>
      <c r="J138" s="3"/>
      <c r="K138" s="5" t="str">
        <f>IFERROR(Tabla3[[#This Row],[USD]]/$B$1,"")</f>
        <v/>
      </c>
    </row>
    <row r="139" spans="4:11" ht="15.75" x14ac:dyDescent="0.25">
      <c r="D139" s="2">
        <v>138</v>
      </c>
      <c r="E139" s="6"/>
      <c r="F139" s="2"/>
      <c r="G139" s="2"/>
      <c r="H139" s="2"/>
      <c r="I139" s="2" t="str">
        <f t="shared" si="2"/>
        <v/>
      </c>
      <c r="J139" s="3"/>
      <c r="K139" s="5" t="str">
        <f>IFERROR(Tabla3[[#This Row],[USD]]/$B$1,"")</f>
        <v/>
      </c>
    </row>
    <row r="140" spans="4:11" ht="15.75" x14ac:dyDescent="0.25">
      <c r="D140" s="2">
        <v>139</v>
      </c>
      <c r="E140" s="6"/>
      <c r="F140" s="2"/>
      <c r="G140" s="2"/>
      <c r="H140" s="2"/>
      <c r="I140" s="2" t="str">
        <f t="shared" si="2"/>
        <v/>
      </c>
      <c r="J140" s="3"/>
      <c r="K140" s="5" t="str">
        <f>IFERROR(Tabla3[[#This Row],[USD]]/$B$1,"")</f>
        <v/>
      </c>
    </row>
    <row r="141" spans="4:11" ht="15.75" x14ac:dyDescent="0.25">
      <c r="D141" s="2">
        <v>140</v>
      </c>
      <c r="E141" s="6"/>
      <c r="F141" s="2"/>
      <c r="G141" s="2"/>
      <c r="H141" s="2"/>
      <c r="I141" s="2" t="str">
        <f t="shared" si="2"/>
        <v/>
      </c>
      <c r="J141" s="3"/>
      <c r="K141" s="5" t="str">
        <f>IFERROR(Tabla3[[#This Row],[USD]]/$B$1,"")</f>
        <v/>
      </c>
    </row>
    <row r="142" spans="4:11" ht="15.75" x14ac:dyDescent="0.25">
      <c r="D142" s="2">
        <v>141</v>
      </c>
      <c r="E142" s="6"/>
      <c r="F142" s="2"/>
      <c r="G142" s="2"/>
      <c r="H142" s="2"/>
      <c r="I142" s="2" t="str">
        <f t="shared" si="2"/>
        <v/>
      </c>
      <c r="J142" s="3"/>
      <c r="K142" s="5" t="str">
        <f>IFERROR(Tabla3[[#This Row],[USD]]/$B$1,"")</f>
        <v/>
      </c>
    </row>
    <row r="143" spans="4:11" ht="15.75" x14ac:dyDescent="0.25">
      <c r="D143" s="2">
        <v>142</v>
      </c>
      <c r="E143" s="6"/>
      <c r="F143" s="2"/>
      <c r="G143" s="2"/>
      <c r="H143" s="2"/>
      <c r="I143" s="2" t="str">
        <f t="shared" si="2"/>
        <v/>
      </c>
      <c r="J143" s="3"/>
      <c r="K143" s="5" t="str">
        <f>IFERROR(Tabla3[[#This Row],[USD]]/$B$1,"")</f>
        <v/>
      </c>
    </row>
    <row r="144" spans="4:11" ht="15.75" x14ac:dyDescent="0.25">
      <c r="D144" s="2">
        <v>143</v>
      </c>
      <c r="E144" s="6"/>
      <c r="F144" s="2"/>
      <c r="G144" s="2"/>
      <c r="H144" s="2"/>
      <c r="I144" s="2" t="str">
        <f t="shared" si="2"/>
        <v/>
      </c>
      <c r="J144" s="3"/>
      <c r="K144" s="5" t="str">
        <f>IFERROR(Tabla3[[#This Row],[USD]]/$B$1,"")</f>
        <v/>
      </c>
    </row>
    <row r="145" spans="4:11" ht="15.75" x14ac:dyDescent="0.25">
      <c r="D145" s="2">
        <v>144</v>
      </c>
      <c r="E145" s="6"/>
      <c r="F145" s="2"/>
      <c r="G145" s="2"/>
      <c r="H145" s="2"/>
      <c r="I145" s="2" t="str">
        <f t="shared" si="2"/>
        <v/>
      </c>
      <c r="J145" s="3"/>
      <c r="K145" s="5" t="str">
        <f>IFERROR(Tabla3[[#This Row],[USD]]/$B$1,"")</f>
        <v/>
      </c>
    </row>
    <row r="146" spans="4:11" ht="15.75" x14ac:dyDescent="0.25">
      <c r="D146" s="2">
        <v>145</v>
      </c>
      <c r="E146" s="6"/>
      <c r="F146" s="2"/>
      <c r="G146" s="2"/>
      <c r="H146" s="2"/>
      <c r="I146" s="2" t="str">
        <f t="shared" si="2"/>
        <v/>
      </c>
      <c r="J146" s="3"/>
      <c r="K146" s="5" t="str">
        <f>IFERROR(Tabla3[[#This Row],[USD]]/$B$1,"")</f>
        <v/>
      </c>
    </row>
    <row r="147" spans="4:11" ht="15.75" x14ac:dyDescent="0.25">
      <c r="D147" s="2">
        <v>146</v>
      </c>
      <c r="E147" s="6"/>
      <c r="F147" s="2"/>
      <c r="G147" s="2"/>
      <c r="H147" s="2"/>
      <c r="I147" s="2" t="str">
        <f t="shared" si="2"/>
        <v/>
      </c>
      <c r="J147" s="3"/>
      <c r="K147" s="5" t="str">
        <f>IFERROR(Tabla3[[#This Row],[USD]]/$B$1,"")</f>
        <v/>
      </c>
    </row>
    <row r="148" spans="4:11" ht="15.75" x14ac:dyDescent="0.25">
      <c r="D148" s="2">
        <v>147</v>
      </c>
      <c r="E148" s="6"/>
      <c r="F148" s="2"/>
      <c r="G148" s="2"/>
      <c r="H148" s="2"/>
      <c r="I148" s="2" t="str">
        <f t="shared" si="2"/>
        <v/>
      </c>
      <c r="J148" s="3"/>
      <c r="K148" s="5" t="str">
        <f>IFERROR(Tabla3[[#This Row],[USD]]/$B$1,"")</f>
        <v/>
      </c>
    </row>
    <row r="149" spans="4:11" ht="15.75" x14ac:dyDescent="0.25">
      <c r="D149" s="2">
        <v>148</v>
      </c>
      <c r="E149" s="6"/>
      <c r="F149" s="2"/>
      <c r="G149" s="2"/>
      <c r="H149" s="2"/>
      <c r="I149" s="2" t="str">
        <f t="shared" si="2"/>
        <v/>
      </c>
      <c r="J149" s="3"/>
      <c r="K149" s="5" t="str">
        <f>IFERROR(Tabla3[[#This Row],[USD]]/$B$1,"")</f>
        <v/>
      </c>
    </row>
    <row r="150" spans="4:11" ht="15.75" x14ac:dyDescent="0.25">
      <c r="D150" s="2">
        <v>149</v>
      </c>
      <c r="E150" s="6"/>
      <c r="F150" s="2"/>
      <c r="G150" s="2"/>
      <c r="H150" s="2"/>
      <c r="I150" s="2" t="str">
        <f t="shared" si="2"/>
        <v/>
      </c>
      <c r="J150" s="3"/>
      <c r="K150" s="5" t="str">
        <f>IFERROR(Tabla3[[#This Row],[USD]]/$B$1,"")</f>
        <v/>
      </c>
    </row>
    <row r="151" spans="4:11" ht="15.75" x14ac:dyDescent="0.25">
      <c r="D151" s="2">
        <v>150</v>
      </c>
      <c r="E151" s="6"/>
      <c r="F151" s="2"/>
      <c r="G151" s="2"/>
      <c r="H151" s="2"/>
      <c r="I151" s="2" t="str">
        <f t="shared" si="2"/>
        <v/>
      </c>
      <c r="J151" s="3"/>
      <c r="K151" s="5" t="str">
        <f>IFERROR(Tabla3[[#This Row],[USD]]/$B$1,"")</f>
        <v/>
      </c>
    </row>
    <row r="152" spans="4:11" ht="15.75" x14ac:dyDescent="0.25">
      <c r="D152" s="2">
        <v>151</v>
      </c>
      <c r="E152" s="6"/>
      <c r="F152" s="2"/>
      <c r="G152" s="2"/>
      <c r="H152" s="2"/>
      <c r="I152" s="2" t="str">
        <f t="shared" si="2"/>
        <v/>
      </c>
      <c r="J152" s="3"/>
      <c r="K152" s="5" t="str">
        <f>IFERROR(Tabla3[[#This Row],[USD]]/$B$1,"")</f>
        <v/>
      </c>
    </row>
    <row r="153" spans="4:11" ht="15.75" x14ac:dyDescent="0.25">
      <c r="D153" s="2">
        <v>152</v>
      </c>
      <c r="E153" s="6"/>
      <c r="F153" s="2"/>
      <c r="G153" s="2"/>
      <c r="H153" s="2"/>
      <c r="I153" s="2" t="str">
        <f t="shared" si="2"/>
        <v/>
      </c>
      <c r="J153" s="3"/>
      <c r="K153" s="5" t="str">
        <f>IFERROR(Tabla3[[#This Row],[USD]]/$B$1,"")</f>
        <v/>
      </c>
    </row>
    <row r="154" spans="4:11" ht="15.75" x14ac:dyDescent="0.25">
      <c r="D154" s="2">
        <v>153</v>
      </c>
      <c r="E154" s="6"/>
      <c r="F154" s="2"/>
      <c r="G154" s="2"/>
      <c r="H154" s="2"/>
      <c r="I154" s="2" t="str">
        <f t="shared" si="2"/>
        <v/>
      </c>
      <c r="J154" s="3"/>
      <c r="K154" s="5" t="str">
        <f>IFERROR(Tabla3[[#This Row],[USD]]/$B$1,"")</f>
        <v/>
      </c>
    </row>
    <row r="155" spans="4:11" ht="15.75" x14ac:dyDescent="0.25">
      <c r="D155" s="2">
        <v>154</v>
      </c>
      <c r="E155" s="6"/>
      <c r="F155" s="2"/>
      <c r="G155" s="2"/>
      <c r="H155" s="2"/>
      <c r="I155" s="2" t="str">
        <f t="shared" si="2"/>
        <v/>
      </c>
      <c r="J155" s="3"/>
      <c r="K155" s="5" t="str">
        <f>IFERROR(Tabla3[[#This Row],[USD]]/$B$1,"")</f>
        <v/>
      </c>
    </row>
    <row r="156" spans="4:11" ht="15.75" x14ac:dyDescent="0.25">
      <c r="D156" s="2">
        <v>155</v>
      </c>
      <c r="E156" s="6"/>
      <c r="F156" s="2"/>
      <c r="G156" s="2"/>
      <c r="H156" s="2"/>
      <c r="I156" s="2" t="str">
        <f t="shared" si="2"/>
        <v/>
      </c>
      <c r="J156" s="3"/>
      <c r="K156" s="5" t="str">
        <f>IFERROR(Tabla3[[#This Row],[USD]]/$B$1,"")</f>
        <v/>
      </c>
    </row>
    <row r="157" spans="4:11" ht="15.75" x14ac:dyDescent="0.25">
      <c r="D157" s="2">
        <v>156</v>
      </c>
      <c r="E157" s="6"/>
      <c r="F157" s="2"/>
      <c r="G157" s="2"/>
      <c r="H157" s="2"/>
      <c r="I157" s="2" t="str">
        <f t="shared" si="2"/>
        <v/>
      </c>
      <c r="J157" s="3"/>
      <c r="K157" s="5" t="str">
        <f>IFERROR(Tabla3[[#This Row],[USD]]/$B$1,"")</f>
        <v/>
      </c>
    </row>
    <row r="158" spans="4:11" ht="15.75" x14ac:dyDescent="0.25">
      <c r="D158" s="2">
        <v>157</v>
      </c>
      <c r="E158" s="6"/>
      <c r="F158" s="2"/>
      <c r="G158" s="2"/>
      <c r="H158" s="2"/>
      <c r="I158" s="2" t="str">
        <f t="shared" si="2"/>
        <v/>
      </c>
      <c r="J158" s="3"/>
      <c r="K158" s="5" t="str">
        <f>IFERROR(Tabla3[[#This Row],[USD]]/$B$1,"")</f>
        <v/>
      </c>
    </row>
    <row r="159" spans="4:11" ht="15.75" x14ac:dyDescent="0.25">
      <c r="D159" s="2">
        <v>158</v>
      </c>
      <c r="E159" s="6"/>
      <c r="F159" s="2"/>
      <c r="G159" s="2"/>
      <c r="H159" s="2"/>
      <c r="I159" s="2" t="str">
        <f t="shared" si="2"/>
        <v/>
      </c>
      <c r="J159" s="3"/>
      <c r="K159" s="5" t="str">
        <f>IFERROR(Tabla3[[#This Row],[USD]]/$B$1,"")</f>
        <v/>
      </c>
    </row>
    <row r="160" spans="4:11" ht="15.75" x14ac:dyDescent="0.25">
      <c r="D160" s="2">
        <v>159</v>
      </c>
      <c r="E160" s="6"/>
      <c r="F160" s="2"/>
      <c r="G160" s="2"/>
      <c r="H160" s="2"/>
      <c r="I160" s="2" t="str">
        <f t="shared" si="2"/>
        <v/>
      </c>
      <c r="J160" s="3"/>
      <c r="K160" s="5" t="str">
        <f>IFERROR(Tabla3[[#This Row],[USD]]/$B$1,"")</f>
        <v/>
      </c>
    </row>
    <row r="161" spans="4:11" ht="15.75" x14ac:dyDescent="0.25">
      <c r="D161" s="2">
        <v>160</v>
      </c>
      <c r="E161" s="6"/>
      <c r="F161" s="2"/>
      <c r="G161" s="2"/>
      <c r="H161" s="2"/>
      <c r="I161" s="2" t="str">
        <f t="shared" si="2"/>
        <v/>
      </c>
      <c r="J161" s="3"/>
      <c r="K161" s="5" t="str">
        <f>IFERROR(Tabla3[[#This Row],[USD]]/$B$1,"")</f>
        <v/>
      </c>
    </row>
    <row r="162" spans="4:11" ht="15.75" x14ac:dyDescent="0.25">
      <c r="D162" s="2">
        <v>161</v>
      </c>
      <c r="E162" s="6"/>
      <c r="F162" s="2"/>
      <c r="G162" s="2"/>
      <c r="H162" s="2"/>
      <c r="I162" s="2" t="str">
        <f t="shared" si="2"/>
        <v/>
      </c>
      <c r="J162" s="3"/>
      <c r="K162" s="5" t="str">
        <f>IFERROR(Tabla3[[#This Row],[USD]]/$B$1,"")</f>
        <v/>
      </c>
    </row>
    <row r="163" spans="4:11" ht="15.75" x14ac:dyDescent="0.25">
      <c r="D163" s="2">
        <v>162</v>
      </c>
      <c r="E163" s="6"/>
      <c r="F163" s="2"/>
      <c r="G163" s="2"/>
      <c r="H163" s="2"/>
      <c r="I163" s="2" t="str">
        <f t="shared" si="2"/>
        <v/>
      </c>
      <c r="J163" s="3"/>
      <c r="K163" s="5" t="str">
        <f>IFERROR(Tabla3[[#This Row],[USD]]/$B$1,"")</f>
        <v/>
      </c>
    </row>
    <row r="164" spans="4:11" ht="15.75" x14ac:dyDescent="0.25">
      <c r="D164" s="2">
        <v>163</v>
      </c>
      <c r="E164" s="6"/>
      <c r="F164" s="2"/>
      <c r="G164" s="2"/>
      <c r="H164" s="2"/>
      <c r="I164" s="2" t="str">
        <f t="shared" si="2"/>
        <v/>
      </c>
      <c r="J164" s="3"/>
      <c r="K164" s="5" t="str">
        <f>IFERROR(Tabla3[[#This Row],[USD]]/$B$1,"")</f>
        <v/>
      </c>
    </row>
    <row r="165" spans="4:11" ht="15.75" x14ac:dyDescent="0.25">
      <c r="D165" s="2">
        <v>164</v>
      </c>
      <c r="E165" s="6"/>
      <c r="F165" s="2"/>
      <c r="G165" s="2"/>
      <c r="H165" s="2"/>
      <c r="I165" s="2" t="str">
        <f t="shared" si="2"/>
        <v/>
      </c>
      <c r="J165" s="3"/>
      <c r="K165" s="5" t="str">
        <f>IFERROR(Tabla3[[#This Row],[USD]]/$B$1,"")</f>
        <v/>
      </c>
    </row>
    <row r="166" spans="4:11" ht="15.75" x14ac:dyDescent="0.25">
      <c r="D166" s="2">
        <v>165</v>
      </c>
      <c r="E166" s="6"/>
      <c r="F166" s="2"/>
      <c r="G166" s="2"/>
      <c r="H166" s="2"/>
      <c r="I166" s="2" t="str">
        <f t="shared" si="2"/>
        <v/>
      </c>
      <c r="J166" s="3"/>
      <c r="K166" s="5" t="str">
        <f>IFERROR(Tabla3[[#This Row],[USD]]/$B$1,"")</f>
        <v/>
      </c>
    </row>
    <row r="167" spans="4:11" ht="15.75" x14ac:dyDescent="0.25">
      <c r="D167" s="2">
        <v>166</v>
      </c>
      <c r="E167" s="6"/>
      <c r="F167" s="2"/>
      <c r="G167" s="2"/>
      <c r="H167" s="2"/>
      <c r="I167" s="2" t="str">
        <f t="shared" si="2"/>
        <v/>
      </c>
      <c r="J167" s="3"/>
      <c r="K167" s="5" t="str">
        <f>IFERROR(Tabla3[[#This Row],[USD]]/$B$1,"")</f>
        <v/>
      </c>
    </row>
    <row r="168" spans="4:11" ht="15.75" x14ac:dyDescent="0.25">
      <c r="D168" s="2">
        <v>167</v>
      </c>
      <c r="E168" s="6"/>
      <c r="F168" s="2"/>
      <c r="G168" s="2"/>
      <c r="H168" s="2"/>
      <c r="I168" s="2" t="str">
        <f t="shared" si="2"/>
        <v/>
      </c>
      <c r="J168" s="3"/>
      <c r="K168" s="5" t="str">
        <f>IFERROR(Tabla3[[#This Row],[USD]]/$B$1,"")</f>
        <v/>
      </c>
    </row>
    <row r="169" spans="4:11" ht="15.75" x14ac:dyDescent="0.25">
      <c r="D169" s="2">
        <v>168</v>
      </c>
      <c r="E169" s="6"/>
      <c r="F169" s="2"/>
      <c r="G169" s="2"/>
      <c r="H169" s="2"/>
      <c r="I169" s="2" t="str">
        <f t="shared" si="2"/>
        <v/>
      </c>
      <c r="J169" s="3"/>
      <c r="K169" s="5" t="str">
        <f>IFERROR(Tabla3[[#This Row],[USD]]/$B$1,"")</f>
        <v/>
      </c>
    </row>
    <row r="170" spans="4:11" ht="15.75" x14ac:dyDescent="0.25">
      <c r="D170" s="2">
        <v>169</v>
      </c>
      <c r="E170" s="6"/>
      <c r="F170" s="2"/>
      <c r="G170" s="2"/>
      <c r="H170" s="2"/>
      <c r="I170" s="2" t="str">
        <f t="shared" si="2"/>
        <v/>
      </c>
      <c r="J170" s="3"/>
      <c r="K170" s="5" t="str">
        <f>IFERROR(Tabla3[[#This Row],[USD]]/$B$1,"")</f>
        <v/>
      </c>
    </row>
    <row r="171" spans="4:11" ht="15.75" x14ac:dyDescent="0.25">
      <c r="D171" s="2">
        <v>170</v>
      </c>
      <c r="E171" s="6"/>
      <c r="F171" s="2"/>
      <c r="G171" s="2"/>
      <c r="H171" s="2"/>
      <c r="I171" s="2" t="str">
        <f t="shared" si="2"/>
        <v/>
      </c>
      <c r="J171" s="3"/>
      <c r="K171" s="5" t="str">
        <f>IFERROR(Tabla3[[#This Row],[USD]]/$B$1,"")</f>
        <v/>
      </c>
    </row>
    <row r="172" spans="4:11" ht="15.75" x14ac:dyDescent="0.25">
      <c r="D172" s="2">
        <v>171</v>
      </c>
      <c r="E172" s="6"/>
      <c r="F172" s="2"/>
      <c r="G172" s="2"/>
      <c r="H172" s="2"/>
      <c r="I172" s="2" t="str">
        <f t="shared" si="2"/>
        <v/>
      </c>
      <c r="J172" s="3"/>
      <c r="K172" s="5" t="str">
        <f>IFERROR(Tabla3[[#This Row],[USD]]/$B$1,"")</f>
        <v/>
      </c>
    </row>
    <row r="173" spans="4:11" ht="15.75" x14ac:dyDescent="0.25">
      <c r="D173" s="2">
        <v>172</v>
      </c>
      <c r="E173" s="6"/>
      <c r="F173" s="2"/>
      <c r="G173" s="2"/>
      <c r="H173" s="2"/>
      <c r="I173" s="2" t="str">
        <f t="shared" si="2"/>
        <v/>
      </c>
      <c r="J173" s="3"/>
      <c r="K173" s="5" t="str">
        <f>IFERROR(Tabla3[[#This Row],[USD]]/$B$1,"")</f>
        <v/>
      </c>
    </row>
    <row r="174" spans="4:11" ht="15.75" x14ac:dyDescent="0.25">
      <c r="D174" s="2">
        <v>173</v>
      </c>
      <c r="E174" s="6"/>
      <c r="F174" s="2"/>
      <c r="G174" s="2"/>
      <c r="H174" s="2"/>
      <c r="I174" s="2" t="str">
        <f t="shared" si="2"/>
        <v/>
      </c>
      <c r="J174" s="3"/>
      <c r="K174" s="5" t="str">
        <f>IFERROR(Tabla3[[#This Row],[USD]]/$B$1,"")</f>
        <v/>
      </c>
    </row>
    <row r="175" spans="4:11" ht="15.75" x14ac:dyDescent="0.25">
      <c r="D175" s="2">
        <v>174</v>
      </c>
      <c r="E175" s="6"/>
      <c r="F175" s="2"/>
      <c r="G175" s="2"/>
      <c r="H175" s="2"/>
      <c r="I175" s="2" t="str">
        <f t="shared" si="2"/>
        <v/>
      </c>
      <c r="J175" s="3"/>
      <c r="K175" s="5" t="str">
        <f>IFERROR(Tabla3[[#This Row],[USD]]/$B$1,"")</f>
        <v/>
      </c>
    </row>
    <row r="176" spans="4:11" ht="15.75" x14ac:dyDescent="0.25">
      <c r="D176" s="2">
        <v>175</v>
      </c>
      <c r="E176" s="6"/>
      <c r="F176" s="2"/>
      <c r="G176" s="2"/>
      <c r="H176" s="2"/>
      <c r="I176" s="2" t="str">
        <f t="shared" si="2"/>
        <v/>
      </c>
      <c r="J176" s="3"/>
      <c r="K176" s="5" t="str">
        <f>IFERROR(Tabla3[[#This Row],[USD]]/$B$1,"")</f>
        <v/>
      </c>
    </row>
    <row r="177" spans="4:11" ht="15.75" x14ac:dyDescent="0.25">
      <c r="D177" s="2">
        <v>176</v>
      </c>
      <c r="E177" s="6"/>
      <c r="F177" s="2"/>
      <c r="G177" s="2"/>
      <c r="H177" s="2"/>
      <c r="I177" s="2" t="str">
        <f t="shared" si="2"/>
        <v/>
      </c>
      <c r="J177" s="3"/>
      <c r="K177" s="5" t="str">
        <f>IFERROR(Tabla3[[#This Row],[USD]]/$B$1,"")</f>
        <v/>
      </c>
    </row>
    <row r="178" spans="4:11" ht="15.75" x14ac:dyDescent="0.25">
      <c r="D178" s="2">
        <v>177</v>
      </c>
      <c r="E178" s="6"/>
      <c r="F178" s="2"/>
      <c r="G178" s="2"/>
      <c r="H178" s="2"/>
      <c r="I178" s="2" t="str">
        <f t="shared" si="2"/>
        <v/>
      </c>
      <c r="J178" s="3"/>
      <c r="K178" s="5" t="str">
        <f>IFERROR(Tabla3[[#This Row],[USD]]/$B$1,"")</f>
        <v/>
      </c>
    </row>
    <row r="179" spans="4:11" ht="15.75" x14ac:dyDescent="0.25">
      <c r="D179" s="2">
        <v>178</v>
      </c>
      <c r="E179" s="6"/>
      <c r="F179" s="2"/>
      <c r="G179" s="2"/>
      <c r="H179" s="2"/>
      <c r="I179" s="2" t="str">
        <f t="shared" si="2"/>
        <v/>
      </c>
      <c r="J179" s="3"/>
      <c r="K179" s="5" t="str">
        <f>IFERROR(Tabla3[[#This Row],[USD]]/$B$1,"")</f>
        <v/>
      </c>
    </row>
    <row r="180" spans="4:11" ht="15.75" x14ac:dyDescent="0.25">
      <c r="D180" s="2">
        <v>179</v>
      </c>
      <c r="E180" s="6"/>
      <c r="F180" s="2"/>
      <c r="G180" s="2"/>
      <c r="H180" s="2"/>
      <c r="I180" s="2" t="str">
        <f t="shared" si="2"/>
        <v/>
      </c>
      <c r="J180" s="3"/>
      <c r="K180" s="5" t="str">
        <f>IFERROR(Tabla3[[#This Row],[USD]]/$B$1,"")</f>
        <v/>
      </c>
    </row>
    <row r="181" spans="4:11" ht="15.75" x14ac:dyDescent="0.25">
      <c r="D181" s="2">
        <v>180</v>
      </c>
      <c r="E181" s="6"/>
      <c r="F181" s="2"/>
      <c r="G181" s="2"/>
      <c r="H181" s="2"/>
      <c r="I181" s="2" t="str">
        <f t="shared" si="2"/>
        <v/>
      </c>
      <c r="J181" s="3"/>
      <c r="K181" s="5" t="str">
        <f>IFERROR(Tabla3[[#This Row],[USD]]/$B$1,"")</f>
        <v/>
      </c>
    </row>
    <row r="182" spans="4:11" ht="15.75" x14ac:dyDescent="0.25">
      <c r="D182" s="2">
        <v>181</v>
      </c>
      <c r="E182" s="6"/>
      <c r="F182" s="2"/>
      <c r="G182" s="2"/>
      <c r="H182" s="2"/>
      <c r="I182" s="2" t="str">
        <f t="shared" si="2"/>
        <v/>
      </c>
      <c r="J182" s="3"/>
      <c r="K182" s="5" t="str">
        <f>IFERROR(Tabla3[[#This Row],[USD]]/$B$1,"")</f>
        <v/>
      </c>
    </row>
    <row r="183" spans="4:11" ht="15.75" x14ac:dyDescent="0.25">
      <c r="D183" s="2">
        <v>182</v>
      </c>
      <c r="E183" s="6"/>
      <c r="F183" s="2"/>
      <c r="G183" s="2"/>
      <c r="H183" s="2"/>
      <c r="I183" s="2" t="str">
        <f t="shared" si="2"/>
        <v/>
      </c>
      <c r="J183" s="3"/>
      <c r="K183" s="5" t="str">
        <f>IFERROR(Tabla3[[#This Row],[USD]]/$B$1,"")</f>
        <v/>
      </c>
    </row>
    <row r="184" spans="4:11" ht="15.75" x14ac:dyDescent="0.25">
      <c r="D184" s="2">
        <v>183</v>
      </c>
      <c r="E184" s="6"/>
      <c r="F184" s="2"/>
      <c r="G184" s="2"/>
      <c r="H184" s="2"/>
      <c r="I184" s="2" t="str">
        <f t="shared" si="2"/>
        <v/>
      </c>
      <c r="J184" s="3"/>
      <c r="K184" s="5" t="str">
        <f>IFERROR(Tabla3[[#This Row],[USD]]/$B$1,"")</f>
        <v/>
      </c>
    </row>
    <row r="185" spans="4:11" ht="15.75" x14ac:dyDescent="0.25">
      <c r="D185" s="2">
        <v>184</v>
      </c>
      <c r="E185" s="6"/>
      <c r="F185" s="2"/>
      <c r="G185" s="2"/>
      <c r="H185" s="2"/>
      <c r="I185" s="2" t="str">
        <f t="shared" si="2"/>
        <v/>
      </c>
      <c r="J185" s="3"/>
      <c r="K185" s="5" t="str">
        <f>IFERROR(Tabla3[[#This Row],[USD]]/$B$1,"")</f>
        <v/>
      </c>
    </row>
    <row r="186" spans="4:11" ht="15.75" x14ac:dyDescent="0.25">
      <c r="D186" s="2">
        <v>185</v>
      </c>
      <c r="E186" s="6"/>
      <c r="F186" s="2"/>
      <c r="G186" s="2"/>
      <c r="H186" s="2"/>
      <c r="I186" s="2" t="str">
        <f t="shared" si="2"/>
        <v/>
      </c>
      <c r="J186" s="3"/>
      <c r="K186" s="5" t="str">
        <f>IFERROR(Tabla3[[#This Row],[USD]]/$B$1,"")</f>
        <v/>
      </c>
    </row>
    <row r="187" spans="4:11" ht="15.75" x14ac:dyDescent="0.25">
      <c r="D187" s="2">
        <v>186</v>
      </c>
      <c r="E187" s="6"/>
      <c r="F187" s="2"/>
      <c r="G187" s="2"/>
      <c r="H187" s="2"/>
      <c r="I187" s="2" t="str">
        <f t="shared" si="2"/>
        <v/>
      </c>
      <c r="J187" s="3"/>
      <c r="K187" s="5" t="str">
        <f>IFERROR(Tabla3[[#This Row],[USD]]/$B$1,"")</f>
        <v/>
      </c>
    </row>
    <row r="188" spans="4:11" ht="15.75" x14ac:dyDescent="0.25">
      <c r="D188" s="2">
        <v>187</v>
      </c>
      <c r="E188" s="6"/>
      <c r="F188" s="2"/>
      <c r="G188" s="2"/>
      <c r="H188" s="2"/>
      <c r="I188" s="2" t="str">
        <f t="shared" si="2"/>
        <v/>
      </c>
      <c r="J188" s="3"/>
      <c r="K188" s="5" t="str">
        <f>IFERROR(Tabla3[[#This Row],[USD]]/$B$1,"")</f>
        <v/>
      </c>
    </row>
    <row r="189" spans="4:11" ht="15.75" x14ac:dyDescent="0.25">
      <c r="D189" s="2">
        <v>188</v>
      </c>
      <c r="E189" s="6"/>
      <c r="F189" s="2"/>
      <c r="G189" s="2"/>
      <c r="H189" s="2"/>
      <c r="I189" s="2" t="str">
        <f t="shared" si="2"/>
        <v/>
      </c>
      <c r="J189" s="3"/>
      <c r="K189" s="5" t="str">
        <f>IFERROR(Tabla3[[#This Row],[USD]]/$B$1,"")</f>
        <v/>
      </c>
    </row>
    <row r="190" spans="4:11" ht="15.75" x14ac:dyDescent="0.25">
      <c r="D190" s="2">
        <v>189</v>
      </c>
      <c r="E190" s="6"/>
      <c r="F190" s="2"/>
      <c r="G190" s="2"/>
      <c r="H190" s="2"/>
      <c r="I190" s="2" t="str">
        <f t="shared" si="2"/>
        <v/>
      </c>
      <c r="J190" s="3"/>
      <c r="K190" s="5" t="str">
        <f>IFERROR(Tabla3[[#This Row],[USD]]/$B$1,"")</f>
        <v/>
      </c>
    </row>
    <row r="191" spans="4:11" ht="15.75" x14ac:dyDescent="0.25">
      <c r="D191" s="2">
        <v>190</v>
      </c>
      <c r="E191" s="6"/>
      <c r="F191" s="2"/>
      <c r="G191" s="2"/>
      <c r="H191" s="2"/>
      <c r="I191" s="2" t="str">
        <f t="shared" si="2"/>
        <v/>
      </c>
      <c r="J191" s="3"/>
      <c r="K191" s="5" t="str">
        <f>IFERROR(Tabla3[[#This Row],[USD]]/$B$1,"")</f>
        <v/>
      </c>
    </row>
    <row r="192" spans="4:11" ht="15.75" x14ac:dyDescent="0.25">
      <c r="D192" s="2">
        <v>191</v>
      </c>
      <c r="E192" s="6"/>
      <c r="F192" s="2"/>
      <c r="G192" s="2"/>
      <c r="H192" s="2"/>
      <c r="I192" s="2" t="str">
        <f t="shared" si="2"/>
        <v/>
      </c>
      <c r="J192" s="3"/>
      <c r="K192" s="5" t="str">
        <f>IFERROR(Tabla3[[#This Row],[USD]]/$B$1,"")</f>
        <v/>
      </c>
    </row>
    <row r="193" spans="4:11" ht="15.75" x14ac:dyDescent="0.25">
      <c r="D193" s="2">
        <v>192</v>
      </c>
      <c r="E193" s="6"/>
      <c r="F193" s="2"/>
      <c r="G193" s="2"/>
      <c r="H193" s="2"/>
      <c r="I193" s="2" t="str">
        <f t="shared" si="2"/>
        <v/>
      </c>
      <c r="J193" s="3"/>
      <c r="K193" s="5" t="str">
        <f>IFERROR(Tabla3[[#This Row],[USD]]/$B$1,"")</f>
        <v/>
      </c>
    </row>
    <row r="194" spans="4:11" ht="15.75" x14ac:dyDescent="0.25">
      <c r="D194" s="2">
        <v>193</v>
      </c>
      <c r="E194" s="6"/>
      <c r="F194" s="2"/>
      <c r="G194" s="2"/>
      <c r="H194" s="2"/>
      <c r="I194" s="2" t="str">
        <f t="shared" si="2"/>
        <v/>
      </c>
      <c r="J194" s="3"/>
      <c r="K194" s="5" t="str">
        <f>IFERROR(Tabla3[[#This Row],[USD]]/$B$1,"")</f>
        <v/>
      </c>
    </row>
    <row r="195" spans="4:11" ht="15.75" x14ac:dyDescent="0.25">
      <c r="D195" s="2">
        <v>194</v>
      </c>
      <c r="E195" s="6"/>
      <c r="F195" s="2"/>
      <c r="G195" s="2"/>
      <c r="H195" s="2"/>
      <c r="I195" s="2" t="str">
        <f t="shared" ref="I195:I258" si="3">IF(J195="","",IF(J195&gt;3,"Ganado",IF(J195&lt;-3,"Perdido","Break Even")))</f>
        <v/>
      </c>
      <c r="J195" s="3"/>
      <c r="K195" s="5" t="str">
        <f>IFERROR(Tabla3[[#This Row],[USD]]/$B$1,"")</f>
        <v/>
      </c>
    </row>
    <row r="196" spans="4:11" ht="15.75" x14ac:dyDescent="0.25">
      <c r="D196" s="2">
        <v>195</v>
      </c>
      <c r="E196" s="6"/>
      <c r="F196" s="2"/>
      <c r="G196" s="2"/>
      <c r="H196" s="2"/>
      <c r="I196" s="2" t="str">
        <f t="shared" si="3"/>
        <v/>
      </c>
      <c r="J196" s="3"/>
      <c r="K196" s="5" t="str">
        <f>IFERROR(Tabla3[[#This Row],[USD]]/$B$1,"")</f>
        <v/>
      </c>
    </row>
    <row r="197" spans="4:11" ht="15.75" x14ac:dyDescent="0.25">
      <c r="D197" s="2">
        <v>196</v>
      </c>
      <c r="E197" s="6"/>
      <c r="F197" s="2"/>
      <c r="G197" s="2"/>
      <c r="H197" s="2"/>
      <c r="I197" s="2" t="str">
        <f t="shared" si="3"/>
        <v/>
      </c>
      <c r="J197" s="3"/>
      <c r="K197" s="5" t="str">
        <f>IFERROR(Tabla3[[#This Row],[USD]]/$B$1,"")</f>
        <v/>
      </c>
    </row>
    <row r="198" spans="4:11" ht="15.75" x14ac:dyDescent="0.25">
      <c r="D198" s="2">
        <v>197</v>
      </c>
      <c r="E198" s="6"/>
      <c r="F198" s="2"/>
      <c r="G198" s="2"/>
      <c r="H198" s="2"/>
      <c r="I198" s="2" t="str">
        <f t="shared" si="3"/>
        <v/>
      </c>
      <c r="J198" s="3"/>
      <c r="K198" s="5" t="str">
        <f>IFERROR(Tabla3[[#This Row],[USD]]/$B$1,"")</f>
        <v/>
      </c>
    </row>
    <row r="199" spans="4:11" ht="15.75" x14ac:dyDescent="0.25">
      <c r="D199" s="2">
        <v>198</v>
      </c>
      <c r="E199" s="6"/>
      <c r="F199" s="2"/>
      <c r="G199" s="2"/>
      <c r="H199" s="2"/>
      <c r="I199" s="2" t="str">
        <f t="shared" si="3"/>
        <v/>
      </c>
      <c r="J199" s="3"/>
      <c r="K199" s="5" t="str">
        <f>IFERROR(Tabla3[[#This Row],[USD]]/$B$1,"")</f>
        <v/>
      </c>
    </row>
    <row r="200" spans="4:11" ht="15.75" x14ac:dyDescent="0.25">
      <c r="D200" s="2">
        <v>199</v>
      </c>
      <c r="E200" s="6"/>
      <c r="F200" s="2"/>
      <c r="G200" s="2"/>
      <c r="H200" s="2"/>
      <c r="I200" s="2" t="str">
        <f t="shared" si="3"/>
        <v/>
      </c>
      <c r="J200" s="3"/>
      <c r="K200" s="5" t="str">
        <f>IFERROR(Tabla3[[#This Row],[USD]]/$B$1,"")</f>
        <v/>
      </c>
    </row>
    <row r="201" spans="4:11" ht="15.75" x14ac:dyDescent="0.25">
      <c r="D201" s="2">
        <v>200</v>
      </c>
      <c r="E201" s="6"/>
      <c r="F201" s="2"/>
      <c r="G201" s="2"/>
      <c r="H201" s="2"/>
      <c r="I201" s="2" t="str">
        <f t="shared" si="3"/>
        <v/>
      </c>
      <c r="J201" s="3"/>
      <c r="K201" s="5" t="str">
        <f>IFERROR(Tabla3[[#This Row],[USD]]/$B$1,"")</f>
        <v/>
      </c>
    </row>
    <row r="202" spans="4:11" ht="15.75" x14ac:dyDescent="0.25">
      <c r="D202" s="2">
        <v>201</v>
      </c>
      <c r="E202" s="6"/>
      <c r="F202" s="2"/>
      <c r="G202" s="2"/>
      <c r="H202" s="2"/>
      <c r="I202" s="2" t="str">
        <f t="shared" si="3"/>
        <v/>
      </c>
      <c r="J202" s="3"/>
      <c r="K202" s="5" t="str">
        <f>IFERROR(Tabla3[[#This Row],[USD]]/$B$1,"")</f>
        <v/>
      </c>
    </row>
    <row r="203" spans="4:11" ht="15.75" x14ac:dyDescent="0.25">
      <c r="D203" s="2">
        <v>202</v>
      </c>
      <c r="E203" s="6"/>
      <c r="F203" s="2"/>
      <c r="G203" s="2"/>
      <c r="H203" s="2"/>
      <c r="I203" s="2" t="str">
        <f t="shared" si="3"/>
        <v/>
      </c>
      <c r="J203" s="3"/>
      <c r="K203" s="5" t="str">
        <f>IFERROR(Tabla3[[#This Row],[USD]]/$B$1,"")</f>
        <v/>
      </c>
    </row>
    <row r="204" spans="4:11" ht="15.75" x14ac:dyDescent="0.25">
      <c r="D204" s="2">
        <v>203</v>
      </c>
      <c r="E204" s="6"/>
      <c r="F204" s="2"/>
      <c r="G204" s="2"/>
      <c r="H204" s="2"/>
      <c r="I204" s="2" t="str">
        <f t="shared" si="3"/>
        <v/>
      </c>
      <c r="J204" s="3"/>
      <c r="K204" s="5" t="str">
        <f>IFERROR(Tabla3[[#This Row],[USD]]/$B$1,"")</f>
        <v/>
      </c>
    </row>
    <row r="205" spans="4:11" ht="15.75" x14ac:dyDescent="0.25">
      <c r="D205" s="2">
        <v>204</v>
      </c>
      <c r="E205" s="6"/>
      <c r="F205" s="2"/>
      <c r="G205" s="2"/>
      <c r="H205" s="2"/>
      <c r="I205" s="2" t="str">
        <f t="shared" si="3"/>
        <v/>
      </c>
      <c r="J205" s="3"/>
      <c r="K205" s="5" t="str">
        <f>IFERROR(Tabla3[[#This Row],[USD]]/$B$1,"")</f>
        <v/>
      </c>
    </row>
    <row r="206" spans="4:11" ht="15.75" x14ac:dyDescent="0.25">
      <c r="D206" s="2">
        <v>205</v>
      </c>
      <c r="E206" s="6"/>
      <c r="F206" s="2"/>
      <c r="G206" s="2"/>
      <c r="H206" s="2"/>
      <c r="I206" s="2" t="str">
        <f t="shared" si="3"/>
        <v/>
      </c>
      <c r="J206" s="3"/>
      <c r="K206" s="5" t="str">
        <f>IFERROR(Tabla3[[#This Row],[USD]]/$B$1,"")</f>
        <v/>
      </c>
    </row>
    <row r="207" spans="4:11" ht="15.75" x14ac:dyDescent="0.25">
      <c r="D207" s="2">
        <v>206</v>
      </c>
      <c r="E207" s="6"/>
      <c r="F207" s="2"/>
      <c r="G207" s="2"/>
      <c r="H207" s="2"/>
      <c r="I207" s="2" t="str">
        <f t="shared" si="3"/>
        <v/>
      </c>
      <c r="J207" s="3"/>
      <c r="K207" s="5" t="str">
        <f>IFERROR(Tabla3[[#This Row],[USD]]/$B$1,"")</f>
        <v/>
      </c>
    </row>
    <row r="208" spans="4:11" ht="15.75" x14ac:dyDescent="0.25">
      <c r="D208" s="2">
        <v>207</v>
      </c>
      <c r="E208" s="6"/>
      <c r="F208" s="2"/>
      <c r="G208" s="2"/>
      <c r="H208" s="2"/>
      <c r="I208" s="2" t="str">
        <f t="shared" si="3"/>
        <v/>
      </c>
      <c r="J208" s="3"/>
      <c r="K208" s="5" t="str">
        <f>IFERROR(Tabla3[[#This Row],[USD]]/$B$1,"")</f>
        <v/>
      </c>
    </row>
    <row r="209" spans="4:11" ht="15.75" x14ac:dyDescent="0.25">
      <c r="D209" s="2">
        <v>208</v>
      </c>
      <c r="E209" s="6"/>
      <c r="F209" s="2"/>
      <c r="G209" s="2"/>
      <c r="H209" s="2"/>
      <c r="I209" s="2" t="str">
        <f t="shared" si="3"/>
        <v/>
      </c>
      <c r="J209" s="3"/>
      <c r="K209" s="5" t="str">
        <f>IFERROR(Tabla3[[#This Row],[USD]]/$B$1,"")</f>
        <v/>
      </c>
    </row>
    <row r="210" spans="4:11" ht="15.75" x14ac:dyDescent="0.25">
      <c r="D210" s="2">
        <v>209</v>
      </c>
      <c r="E210" s="6"/>
      <c r="F210" s="2"/>
      <c r="G210" s="2"/>
      <c r="H210" s="2"/>
      <c r="I210" s="2" t="str">
        <f t="shared" si="3"/>
        <v/>
      </c>
      <c r="J210" s="3"/>
      <c r="K210" s="5" t="str">
        <f>IFERROR(Tabla3[[#This Row],[USD]]/$B$1,"")</f>
        <v/>
      </c>
    </row>
    <row r="211" spans="4:11" ht="15.75" x14ac:dyDescent="0.25">
      <c r="D211" s="2">
        <v>210</v>
      </c>
      <c r="E211" s="6"/>
      <c r="F211" s="2"/>
      <c r="G211" s="2"/>
      <c r="H211" s="2"/>
      <c r="I211" s="2" t="str">
        <f t="shared" si="3"/>
        <v/>
      </c>
      <c r="J211" s="3"/>
      <c r="K211" s="5" t="str">
        <f>IFERROR(Tabla3[[#This Row],[USD]]/$B$1,"")</f>
        <v/>
      </c>
    </row>
    <row r="212" spans="4:11" ht="15.75" x14ac:dyDescent="0.25">
      <c r="D212" s="2">
        <v>211</v>
      </c>
      <c r="E212" s="6"/>
      <c r="F212" s="2"/>
      <c r="G212" s="2"/>
      <c r="H212" s="2"/>
      <c r="I212" s="2" t="str">
        <f t="shared" si="3"/>
        <v/>
      </c>
      <c r="J212" s="3"/>
      <c r="K212" s="5" t="str">
        <f>IFERROR(Tabla3[[#This Row],[USD]]/$B$1,"")</f>
        <v/>
      </c>
    </row>
    <row r="213" spans="4:11" ht="15.75" x14ac:dyDescent="0.25">
      <c r="D213" s="2">
        <v>212</v>
      </c>
      <c r="E213" s="6"/>
      <c r="F213" s="2"/>
      <c r="G213" s="2"/>
      <c r="H213" s="2"/>
      <c r="I213" s="2" t="str">
        <f t="shared" si="3"/>
        <v/>
      </c>
      <c r="J213" s="3"/>
      <c r="K213" s="5" t="str">
        <f>IFERROR(Tabla3[[#This Row],[USD]]/$B$1,"")</f>
        <v/>
      </c>
    </row>
    <row r="214" spans="4:11" ht="15.75" x14ac:dyDescent="0.25">
      <c r="D214" s="2">
        <v>213</v>
      </c>
      <c r="E214" s="6"/>
      <c r="F214" s="2"/>
      <c r="G214" s="2"/>
      <c r="H214" s="2"/>
      <c r="I214" s="2" t="str">
        <f t="shared" si="3"/>
        <v/>
      </c>
      <c r="J214" s="3"/>
      <c r="K214" s="5" t="str">
        <f>IFERROR(Tabla3[[#This Row],[USD]]/$B$1,"")</f>
        <v/>
      </c>
    </row>
    <row r="215" spans="4:11" ht="15.75" x14ac:dyDescent="0.25">
      <c r="D215" s="2">
        <v>214</v>
      </c>
      <c r="E215" s="6"/>
      <c r="F215" s="2"/>
      <c r="G215" s="2"/>
      <c r="H215" s="2"/>
      <c r="I215" s="2" t="str">
        <f t="shared" si="3"/>
        <v/>
      </c>
      <c r="J215" s="3"/>
      <c r="K215" s="5" t="str">
        <f>IFERROR(Tabla3[[#This Row],[USD]]/$B$1,"")</f>
        <v/>
      </c>
    </row>
    <row r="216" spans="4:11" ht="15.75" x14ac:dyDescent="0.25">
      <c r="D216" s="2">
        <v>215</v>
      </c>
      <c r="E216" s="6"/>
      <c r="F216" s="2"/>
      <c r="G216" s="2"/>
      <c r="H216" s="2"/>
      <c r="I216" s="2" t="str">
        <f t="shared" si="3"/>
        <v/>
      </c>
      <c r="J216" s="3"/>
      <c r="K216" s="5" t="str">
        <f>IFERROR(Tabla3[[#This Row],[USD]]/$B$1,"")</f>
        <v/>
      </c>
    </row>
    <row r="217" spans="4:11" ht="15.75" x14ac:dyDescent="0.25">
      <c r="D217" s="2">
        <v>216</v>
      </c>
      <c r="E217" s="6"/>
      <c r="F217" s="2"/>
      <c r="G217" s="2"/>
      <c r="H217" s="2"/>
      <c r="I217" s="2" t="str">
        <f t="shared" si="3"/>
        <v/>
      </c>
      <c r="J217" s="3"/>
      <c r="K217" s="5" t="str">
        <f>IFERROR(Tabla3[[#This Row],[USD]]/$B$1,"")</f>
        <v/>
      </c>
    </row>
    <row r="218" spans="4:11" ht="15.75" x14ac:dyDescent="0.25">
      <c r="D218" s="2">
        <v>217</v>
      </c>
      <c r="E218" s="6"/>
      <c r="F218" s="2"/>
      <c r="G218" s="2"/>
      <c r="H218" s="2"/>
      <c r="I218" s="2" t="str">
        <f t="shared" si="3"/>
        <v/>
      </c>
      <c r="J218" s="3"/>
      <c r="K218" s="5" t="str">
        <f>IFERROR(Tabla3[[#This Row],[USD]]/$B$1,"")</f>
        <v/>
      </c>
    </row>
    <row r="219" spans="4:11" ht="15.75" x14ac:dyDescent="0.25">
      <c r="D219" s="2">
        <v>218</v>
      </c>
      <c r="E219" s="6"/>
      <c r="F219" s="2"/>
      <c r="G219" s="2"/>
      <c r="H219" s="2"/>
      <c r="I219" s="2" t="str">
        <f t="shared" si="3"/>
        <v/>
      </c>
      <c r="J219" s="3"/>
      <c r="K219" s="5" t="str">
        <f>IFERROR(Tabla3[[#This Row],[USD]]/$B$1,"")</f>
        <v/>
      </c>
    </row>
    <row r="220" spans="4:11" ht="15.75" x14ac:dyDescent="0.25">
      <c r="D220" s="2">
        <v>219</v>
      </c>
      <c r="E220" s="6"/>
      <c r="F220" s="2"/>
      <c r="G220" s="2"/>
      <c r="H220" s="2"/>
      <c r="I220" s="2" t="str">
        <f t="shared" si="3"/>
        <v/>
      </c>
      <c r="J220" s="3"/>
      <c r="K220" s="5" t="str">
        <f>IFERROR(Tabla3[[#This Row],[USD]]/$B$1,"")</f>
        <v/>
      </c>
    </row>
    <row r="221" spans="4:11" ht="15.75" x14ac:dyDescent="0.25">
      <c r="D221" s="2">
        <v>220</v>
      </c>
      <c r="E221" s="6"/>
      <c r="F221" s="2"/>
      <c r="G221" s="2"/>
      <c r="H221" s="2"/>
      <c r="I221" s="2" t="str">
        <f t="shared" si="3"/>
        <v/>
      </c>
      <c r="J221" s="3"/>
      <c r="K221" s="5" t="str">
        <f>IFERROR(Tabla3[[#This Row],[USD]]/$B$1,"")</f>
        <v/>
      </c>
    </row>
    <row r="222" spans="4:11" ht="15.75" x14ac:dyDescent="0.25">
      <c r="D222" s="2">
        <v>221</v>
      </c>
      <c r="E222" s="6"/>
      <c r="F222" s="2"/>
      <c r="G222" s="2"/>
      <c r="H222" s="2"/>
      <c r="I222" s="2" t="str">
        <f t="shared" si="3"/>
        <v/>
      </c>
      <c r="J222" s="3"/>
      <c r="K222" s="5" t="str">
        <f>IFERROR(Tabla3[[#This Row],[USD]]/$B$1,"")</f>
        <v/>
      </c>
    </row>
    <row r="223" spans="4:11" ht="15.75" x14ac:dyDescent="0.25">
      <c r="D223" s="2">
        <v>222</v>
      </c>
      <c r="E223" s="6"/>
      <c r="F223" s="2"/>
      <c r="G223" s="2"/>
      <c r="H223" s="2"/>
      <c r="I223" s="2" t="str">
        <f t="shared" si="3"/>
        <v/>
      </c>
      <c r="J223" s="3"/>
      <c r="K223" s="5" t="str">
        <f>IFERROR(Tabla3[[#This Row],[USD]]/$B$1,"")</f>
        <v/>
      </c>
    </row>
    <row r="224" spans="4:11" ht="15.75" x14ac:dyDescent="0.25">
      <c r="D224" s="2">
        <v>223</v>
      </c>
      <c r="E224" s="6"/>
      <c r="F224" s="2"/>
      <c r="G224" s="2"/>
      <c r="H224" s="2"/>
      <c r="I224" s="2" t="str">
        <f t="shared" si="3"/>
        <v/>
      </c>
      <c r="J224" s="3"/>
      <c r="K224" s="5" t="str">
        <f>IFERROR(Tabla3[[#This Row],[USD]]/$B$1,"")</f>
        <v/>
      </c>
    </row>
    <row r="225" spans="4:11" ht="15.75" x14ac:dyDescent="0.25">
      <c r="D225" s="2">
        <v>224</v>
      </c>
      <c r="E225" s="6"/>
      <c r="F225" s="2"/>
      <c r="G225" s="2"/>
      <c r="H225" s="2"/>
      <c r="I225" s="2" t="str">
        <f t="shared" si="3"/>
        <v/>
      </c>
      <c r="J225" s="3"/>
      <c r="K225" s="5" t="str">
        <f>IFERROR(Tabla3[[#This Row],[USD]]/$B$1,"")</f>
        <v/>
      </c>
    </row>
    <row r="226" spans="4:11" ht="15.75" x14ac:dyDescent="0.25">
      <c r="D226" s="2">
        <v>225</v>
      </c>
      <c r="E226" s="6"/>
      <c r="F226" s="2"/>
      <c r="G226" s="2"/>
      <c r="H226" s="2"/>
      <c r="I226" s="2" t="str">
        <f t="shared" si="3"/>
        <v/>
      </c>
      <c r="J226" s="3"/>
      <c r="K226" s="5" t="str">
        <f>IFERROR(Tabla3[[#This Row],[USD]]/$B$1,"")</f>
        <v/>
      </c>
    </row>
    <row r="227" spans="4:11" ht="15.75" x14ac:dyDescent="0.25">
      <c r="D227" s="2">
        <v>226</v>
      </c>
      <c r="E227" s="6"/>
      <c r="F227" s="2"/>
      <c r="G227" s="2"/>
      <c r="H227" s="2"/>
      <c r="I227" s="2" t="str">
        <f t="shared" si="3"/>
        <v/>
      </c>
      <c r="J227" s="3"/>
      <c r="K227" s="5" t="str">
        <f>IFERROR(Tabla3[[#This Row],[USD]]/$B$1,"")</f>
        <v/>
      </c>
    </row>
    <row r="228" spans="4:11" ht="15.75" x14ac:dyDescent="0.25">
      <c r="D228" s="2">
        <v>227</v>
      </c>
      <c r="E228" s="6"/>
      <c r="F228" s="2"/>
      <c r="G228" s="2"/>
      <c r="H228" s="2"/>
      <c r="I228" s="2" t="str">
        <f t="shared" si="3"/>
        <v/>
      </c>
      <c r="J228" s="3"/>
      <c r="K228" s="5" t="str">
        <f>IFERROR(Tabla3[[#This Row],[USD]]/$B$1,"")</f>
        <v/>
      </c>
    </row>
    <row r="229" spans="4:11" ht="15.75" x14ac:dyDescent="0.25">
      <c r="D229" s="2">
        <v>228</v>
      </c>
      <c r="E229" s="6"/>
      <c r="F229" s="2"/>
      <c r="G229" s="2"/>
      <c r="H229" s="2"/>
      <c r="I229" s="2" t="str">
        <f t="shared" si="3"/>
        <v/>
      </c>
      <c r="J229" s="3"/>
      <c r="K229" s="5" t="str">
        <f>IFERROR(Tabla3[[#This Row],[USD]]/$B$1,"")</f>
        <v/>
      </c>
    </row>
    <row r="230" spans="4:11" ht="15.75" x14ac:dyDescent="0.25">
      <c r="D230" s="2">
        <v>229</v>
      </c>
      <c r="E230" s="6"/>
      <c r="F230" s="2"/>
      <c r="G230" s="2"/>
      <c r="H230" s="2"/>
      <c r="I230" s="2" t="str">
        <f t="shared" si="3"/>
        <v/>
      </c>
      <c r="J230" s="3"/>
      <c r="K230" s="5" t="str">
        <f>IFERROR(Tabla3[[#This Row],[USD]]/$B$1,"")</f>
        <v/>
      </c>
    </row>
    <row r="231" spans="4:11" ht="15.75" x14ac:dyDescent="0.25">
      <c r="D231" s="2">
        <v>230</v>
      </c>
      <c r="E231" s="6"/>
      <c r="F231" s="2"/>
      <c r="G231" s="2"/>
      <c r="H231" s="2"/>
      <c r="I231" s="2" t="str">
        <f t="shared" si="3"/>
        <v/>
      </c>
      <c r="J231" s="3"/>
      <c r="K231" s="5" t="str">
        <f>IFERROR(Tabla3[[#This Row],[USD]]/$B$1,"")</f>
        <v/>
      </c>
    </row>
    <row r="232" spans="4:11" ht="15.75" x14ac:dyDescent="0.25">
      <c r="D232" s="2">
        <v>231</v>
      </c>
      <c r="E232" s="6"/>
      <c r="F232" s="2"/>
      <c r="G232" s="2"/>
      <c r="H232" s="2"/>
      <c r="I232" s="2" t="str">
        <f t="shared" si="3"/>
        <v/>
      </c>
      <c r="J232" s="3"/>
      <c r="K232" s="5" t="str">
        <f>IFERROR(Tabla3[[#This Row],[USD]]/$B$1,"")</f>
        <v/>
      </c>
    </row>
    <row r="233" spans="4:11" ht="15.75" x14ac:dyDescent="0.25">
      <c r="D233" s="2">
        <v>232</v>
      </c>
      <c r="E233" s="6"/>
      <c r="F233" s="2"/>
      <c r="G233" s="2"/>
      <c r="H233" s="2"/>
      <c r="I233" s="2" t="str">
        <f t="shared" si="3"/>
        <v/>
      </c>
      <c r="J233" s="3"/>
      <c r="K233" s="5" t="str">
        <f>IFERROR(Tabla3[[#This Row],[USD]]/$B$1,"")</f>
        <v/>
      </c>
    </row>
    <row r="234" spans="4:11" ht="15.75" x14ac:dyDescent="0.25">
      <c r="D234" s="2">
        <v>233</v>
      </c>
      <c r="E234" s="6"/>
      <c r="F234" s="2"/>
      <c r="G234" s="2"/>
      <c r="H234" s="2"/>
      <c r="I234" s="2" t="str">
        <f t="shared" si="3"/>
        <v/>
      </c>
      <c r="J234" s="3"/>
      <c r="K234" s="5" t="str">
        <f>IFERROR(Tabla3[[#This Row],[USD]]/$B$1,"")</f>
        <v/>
      </c>
    </row>
    <row r="235" spans="4:11" ht="15.75" x14ac:dyDescent="0.25">
      <c r="D235" s="2">
        <v>234</v>
      </c>
      <c r="E235" s="6"/>
      <c r="F235" s="2"/>
      <c r="G235" s="2"/>
      <c r="H235" s="2"/>
      <c r="I235" s="2" t="str">
        <f t="shared" si="3"/>
        <v/>
      </c>
      <c r="J235" s="3"/>
      <c r="K235" s="5" t="str">
        <f>IFERROR(Tabla3[[#This Row],[USD]]/$B$1,"")</f>
        <v/>
      </c>
    </row>
    <row r="236" spans="4:11" ht="15.75" x14ac:dyDescent="0.25">
      <c r="D236" s="2">
        <v>235</v>
      </c>
      <c r="E236" s="6"/>
      <c r="F236" s="2"/>
      <c r="G236" s="2"/>
      <c r="H236" s="2"/>
      <c r="I236" s="2" t="str">
        <f t="shared" si="3"/>
        <v/>
      </c>
      <c r="J236" s="3"/>
      <c r="K236" s="5" t="str">
        <f>IFERROR(Tabla3[[#This Row],[USD]]/$B$1,"")</f>
        <v/>
      </c>
    </row>
    <row r="237" spans="4:11" ht="15.75" x14ac:dyDescent="0.25">
      <c r="D237" s="2">
        <v>236</v>
      </c>
      <c r="E237" s="6"/>
      <c r="F237" s="2"/>
      <c r="G237" s="2"/>
      <c r="H237" s="2"/>
      <c r="I237" s="2" t="str">
        <f t="shared" si="3"/>
        <v/>
      </c>
      <c r="J237" s="3"/>
      <c r="K237" s="5" t="str">
        <f>IFERROR(Tabla3[[#This Row],[USD]]/$B$1,"")</f>
        <v/>
      </c>
    </row>
    <row r="238" spans="4:11" ht="15.75" x14ac:dyDescent="0.25">
      <c r="D238" s="2">
        <v>237</v>
      </c>
      <c r="E238" s="6"/>
      <c r="F238" s="2"/>
      <c r="G238" s="2"/>
      <c r="H238" s="2"/>
      <c r="I238" s="2" t="str">
        <f t="shared" si="3"/>
        <v/>
      </c>
      <c r="J238" s="3"/>
      <c r="K238" s="5" t="str">
        <f>IFERROR(Tabla3[[#This Row],[USD]]/$B$1,"")</f>
        <v/>
      </c>
    </row>
    <row r="239" spans="4:11" ht="15.75" x14ac:dyDescent="0.25">
      <c r="D239" s="2">
        <v>238</v>
      </c>
      <c r="E239" s="6"/>
      <c r="F239" s="2"/>
      <c r="G239" s="2"/>
      <c r="H239" s="2"/>
      <c r="I239" s="2" t="str">
        <f t="shared" si="3"/>
        <v/>
      </c>
      <c r="J239" s="3"/>
      <c r="K239" s="5" t="str">
        <f>IFERROR(Tabla3[[#This Row],[USD]]/$B$1,"")</f>
        <v/>
      </c>
    </row>
    <row r="240" spans="4:11" ht="15.75" x14ac:dyDescent="0.25">
      <c r="D240" s="2">
        <v>239</v>
      </c>
      <c r="E240" s="6"/>
      <c r="F240" s="2"/>
      <c r="G240" s="2"/>
      <c r="H240" s="2"/>
      <c r="I240" s="2" t="str">
        <f t="shared" si="3"/>
        <v/>
      </c>
      <c r="J240" s="3"/>
      <c r="K240" s="5" t="str">
        <f>IFERROR(Tabla3[[#This Row],[USD]]/$B$1,"")</f>
        <v/>
      </c>
    </row>
    <row r="241" spans="4:11" ht="15.75" x14ac:dyDescent="0.25">
      <c r="D241" s="2">
        <v>240</v>
      </c>
      <c r="E241" s="6"/>
      <c r="F241" s="2"/>
      <c r="G241" s="2"/>
      <c r="H241" s="2"/>
      <c r="I241" s="2" t="str">
        <f t="shared" si="3"/>
        <v/>
      </c>
      <c r="J241" s="3"/>
      <c r="K241" s="5" t="str">
        <f>IFERROR(Tabla3[[#This Row],[USD]]/$B$1,"")</f>
        <v/>
      </c>
    </row>
    <row r="242" spans="4:11" ht="15.75" x14ac:dyDescent="0.25">
      <c r="D242" s="2">
        <v>241</v>
      </c>
      <c r="E242" s="6"/>
      <c r="F242" s="2"/>
      <c r="G242" s="2"/>
      <c r="H242" s="2"/>
      <c r="I242" s="2" t="str">
        <f t="shared" si="3"/>
        <v/>
      </c>
      <c r="J242" s="3"/>
      <c r="K242" s="5" t="str">
        <f>IFERROR(Tabla3[[#This Row],[USD]]/$B$1,"")</f>
        <v/>
      </c>
    </row>
    <row r="243" spans="4:11" ht="15.75" x14ac:dyDescent="0.25">
      <c r="D243" s="2">
        <v>242</v>
      </c>
      <c r="E243" s="6"/>
      <c r="F243" s="2"/>
      <c r="G243" s="2"/>
      <c r="H243" s="2"/>
      <c r="I243" s="2" t="str">
        <f t="shared" si="3"/>
        <v/>
      </c>
      <c r="J243" s="3"/>
      <c r="K243" s="5" t="str">
        <f>IFERROR(Tabla3[[#This Row],[USD]]/$B$1,"")</f>
        <v/>
      </c>
    </row>
    <row r="244" spans="4:11" ht="15.75" x14ac:dyDescent="0.25">
      <c r="D244" s="2">
        <v>243</v>
      </c>
      <c r="E244" s="6"/>
      <c r="F244" s="2"/>
      <c r="G244" s="2"/>
      <c r="H244" s="2"/>
      <c r="I244" s="2" t="str">
        <f t="shared" si="3"/>
        <v/>
      </c>
      <c r="J244" s="3"/>
      <c r="K244" s="5" t="str">
        <f>IFERROR(Tabla3[[#This Row],[USD]]/$B$1,"")</f>
        <v/>
      </c>
    </row>
    <row r="245" spans="4:11" ht="15.75" x14ac:dyDescent="0.25">
      <c r="D245" s="2">
        <v>244</v>
      </c>
      <c r="E245" s="6"/>
      <c r="F245" s="2"/>
      <c r="G245" s="2"/>
      <c r="H245" s="2"/>
      <c r="I245" s="2" t="str">
        <f t="shared" si="3"/>
        <v/>
      </c>
      <c r="J245" s="3"/>
      <c r="K245" s="5" t="str">
        <f>IFERROR(Tabla3[[#This Row],[USD]]/$B$1,"")</f>
        <v/>
      </c>
    </row>
    <row r="246" spans="4:11" ht="15.75" x14ac:dyDescent="0.25">
      <c r="D246" s="2">
        <v>245</v>
      </c>
      <c r="E246" s="6"/>
      <c r="F246" s="2"/>
      <c r="G246" s="2"/>
      <c r="H246" s="2"/>
      <c r="I246" s="2" t="str">
        <f t="shared" si="3"/>
        <v/>
      </c>
      <c r="J246" s="3"/>
      <c r="K246" s="5" t="str">
        <f>IFERROR(Tabla3[[#This Row],[USD]]/$B$1,"")</f>
        <v/>
      </c>
    </row>
    <row r="247" spans="4:11" ht="15.75" x14ac:dyDescent="0.25">
      <c r="D247" s="2">
        <v>246</v>
      </c>
      <c r="E247" s="6"/>
      <c r="F247" s="2"/>
      <c r="G247" s="2"/>
      <c r="H247" s="2"/>
      <c r="I247" s="2" t="str">
        <f t="shared" si="3"/>
        <v/>
      </c>
      <c r="J247" s="3"/>
      <c r="K247" s="5" t="str">
        <f>IFERROR(Tabla3[[#This Row],[USD]]/$B$1,"")</f>
        <v/>
      </c>
    </row>
    <row r="248" spans="4:11" ht="15.75" x14ac:dyDescent="0.25">
      <c r="D248" s="2">
        <v>247</v>
      </c>
      <c r="E248" s="6"/>
      <c r="F248" s="2"/>
      <c r="G248" s="2"/>
      <c r="H248" s="2"/>
      <c r="I248" s="2" t="str">
        <f t="shared" si="3"/>
        <v/>
      </c>
      <c r="J248" s="3"/>
      <c r="K248" s="5" t="str">
        <f>IFERROR(Tabla3[[#This Row],[USD]]/$B$1,"")</f>
        <v/>
      </c>
    </row>
    <row r="249" spans="4:11" ht="15.75" x14ac:dyDescent="0.25">
      <c r="D249" s="2">
        <v>248</v>
      </c>
      <c r="E249" s="6"/>
      <c r="F249" s="2"/>
      <c r="G249" s="2"/>
      <c r="H249" s="2"/>
      <c r="I249" s="2" t="str">
        <f t="shared" si="3"/>
        <v/>
      </c>
      <c r="J249" s="3"/>
      <c r="K249" s="5" t="str">
        <f>IFERROR(Tabla3[[#This Row],[USD]]/$B$1,"")</f>
        <v/>
      </c>
    </row>
    <row r="250" spans="4:11" ht="15.75" x14ac:dyDescent="0.25">
      <c r="D250" s="2">
        <v>249</v>
      </c>
      <c r="E250" s="6"/>
      <c r="F250" s="2"/>
      <c r="G250" s="2"/>
      <c r="H250" s="2"/>
      <c r="I250" s="2" t="str">
        <f t="shared" si="3"/>
        <v/>
      </c>
      <c r="J250" s="3"/>
      <c r="K250" s="5" t="str">
        <f>IFERROR(Tabla3[[#This Row],[USD]]/$B$1,"")</f>
        <v/>
      </c>
    </row>
    <row r="251" spans="4:11" ht="15.75" x14ac:dyDescent="0.25">
      <c r="D251" s="2">
        <v>250</v>
      </c>
      <c r="E251" s="6"/>
      <c r="F251" s="2"/>
      <c r="G251" s="2"/>
      <c r="H251" s="2"/>
      <c r="I251" s="2" t="str">
        <f t="shared" si="3"/>
        <v/>
      </c>
      <c r="J251" s="3"/>
      <c r="K251" s="5" t="str">
        <f>IFERROR(Tabla3[[#This Row],[USD]]/$B$1,"")</f>
        <v/>
      </c>
    </row>
    <row r="252" spans="4:11" ht="15.75" x14ac:dyDescent="0.25">
      <c r="D252" s="2">
        <v>251</v>
      </c>
      <c r="E252" s="6"/>
      <c r="F252" s="2"/>
      <c r="G252" s="2"/>
      <c r="H252" s="2"/>
      <c r="I252" s="2" t="str">
        <f t="shared" si="3"/>
        <v/>
      </c>
      <c r="J252" s="3"/>
      <c r="K252" s="5" t="str">
        <f>IFERROR(Tabla3[[#This Row],[USD]]/$B$1,"")</f>
        <v/>
      </c>
    </row>
    <row r="253" spans="4:11" ht="15.75" x14ac:dyDescent="0.25">
      <c r="D253" s="2">
        <v>252</v>
      </c>
      <c r="E253" s="6"/>
      <c r="F253" s="2"/>
      <c r="G253" s="2"/>
      <c r="H253" s="2"/>
      <c r="I253" s="2" t="str">
        <f t="shared" si="3"/>
        <v/>
      </c>
      <c r="J253" s="3"/>
      <c r="K253" s="5" t="str">
        <f>IFERROR(Tabla3[[#This Row],[USD]]/$B$1,"")</f>
        <v/>
      </c>
    </row>
    <row r="254" spans="4:11" ht="15.75" x14ac:dyDescent="0.25">
      <c r="D254" s="2">
        <v>253</v>
      </c>
      <c r="E254" s="6"/>
      <c r="F254" s="2"/>
      <c r="G254" s="2"/>
      <c r="H254" s="2"/>
      <c r="I254" s="2" t="str">
        <f t="shared" si="3"/>
        <v/>
      </c>
      <c r="J254" s="3"/>
      <c r="K254" s="5" t="str">
        <f>IFERROR(Tabla3[[#This Row],[USD]]/$B$1,"")</f>
        <v/>
      </c>
    </row>
    <row r="255" spans="4:11" ht="15.75" x14ac:dyDescent="0.25">
      <c r="D255" s="2">
        <v>254</v>
      </c>
      <c r="E255" s="6"/>
      <c r="F255" s="2"/>
      <c r="G255" s="2"/>
      <c r="H255" s="2"/>
      <c r="I255" s="2" t="str">
        <f t="shared" si="3"/>
        <v/>
      </c>
      <c r="J255" s="3"/>
      <c r="K255" s="5" t="str">
        <f>IFERROR(Tabla3[[#This Row],[USD]]/$B$1,"")</f>
        <v/>
      </c>
    </row>
    <row r="256" spans="4:11" ht="15.75" x14ac:dyDescent="0.25">
      <c r="D256" s="2">
        <v>255</v>
      </c>
      <c r="E256" s="6"/>
      <c r="F256" s="2"/>
      <c r="G256" s="2"/>
      <c r="H256" s="2"/>
      <c r="I256" s="2" t="str">
        <f t="shared" si="3"/>
        <v/>
      </c>
      <c r="J256" s="3"/>
      <c r="K256" s="5" t="str">
        <f>IFERROR(Tabla3[[#This Row],[USD]]/$B$1,"")</f>
        <v/>
      </c>
    </row>
    <row r="257" spans="4:11" ht="15.75" x14ac:dyDescent="0.25">
      <c r="D257" s="2">
        <v>256</v>
      </c>
      <c r="E257" s="6"/>
      <c r="F257" s="2"/>
      <c r="G257" s="2"/>
      <c r="H257" s="2"/>
      <c r="I257" s="2" t="str">
        <f t="shared" si="3"/>
        <v/>
      </c>
      <c r="J257" s="3"/>
      <c r="K257" s="5" t="str">
        <f>IFERROR(Tabla3[[#This Row],[USD]]/$B$1,"")</f>
        <v/>
      </c>
    </row>
    <row r="258" spans="4:11" ht="15.75" x14ac:dyDescent="0.25">
      <c r="D258" s="2">
        <v>257</v>
      </c>
      <c r="E258" s="6"/>
      <c r="F258" s="2"/>
      <c r="G258" s="2"/>
      <c r="H258" s="2"/>
      <c r="I258" s="2" t="str">
        <f t="shared" si="3"/>
        <v/>
      </c>
      <c r="J258" s="3"/>
      <c r="K258" s="5" t="str">
        <f>IFERROR(Tabla3[[#This Row],[USD]]/$B$1,"")</f>
        <v/>
      </c>
    </row>
    <row r="259" spans="4:11" ht="15.75" x14ac:dyDescent="0.25">
      <c r="D259" s="2">
        <v>258</v>
      </c>
      <c r="E259" s="6"/>
      <c r="F259" s="2"/>
      <c r="G259" s="2"/>
      <c r="H259" s="2"/>
      <c r="I259" s="2" t="str">
        <f t="shared" ref="I259:I301" si="4">IF(J259="","",IF(J259&gt;3,"Ganado",IF(J259&lt;-3,"Perdido","Break Even")))</f>
        <v/>
      </c>
      <c r="J259" s="3"/>
      <c r="K259" s="5" t="str">
        <f>IFERROR(Tabla3[[#This Row],[USD]]/$B$1,"")</f>
        <v/>
      </c>
    </row>
    <row r="260" spans="4:11" ht="15.75" x14ac:dyDescent="0.25">
      <c r="D260" s="2">
        <v>259</v>
      </c>
      <c r="E260" s="6"/>
      <c r="F260" s="2"/>
      <c r="G260" s="2"/>
      <c r="H260" s="2"/>
      <c r="I260" s="2" t="str">
        <f t="shared" si="4"/>
        <v/>
      </c>
      <c r="J260" s="3"/>
      <c r="K260" s="5" t="str">
        <f>IFERROR(Tabla3[[#This Row],[USD]]/$B$1,"")</f>
        <v/>
      </c>
    </row>
    <row r="261" spans="4:11" ht="15.75" x14ac:dyDescent="0.25">
      <c r="D261" s="2">
        <v>260</v>
      </c>
      <c r="E261" s="6"/>
      <c r="F261" s="2"/>
      <c r="G261" s="2"/>
      <c r="H261" s="2"/>
      <c r="I261" s="2" t="str">
        <f t="shared" si="4"/>
        <v/>
      </c>
      <c r="J261" s="3"/>
      <c r="K261" s="5" t="str">
        <f>IFERROR(Tabla3[[#This Row],[USD]]/$B$1,"")</f>
        <v/>
      </c>
    </row>
    <row r="262" spans="4:11" ht="15.75" x14ac:dyDescent="0.25">
      <c r="D262" s="2">
        <v>261</v>
      </c>
      <c r="E262" s="6"/>
      <c r="F262" s="2"/>
      <c r="G262" s="2"/>
      <c r="H262" s="2"/>
      <c r="I262" s="2" t="str">
        <f t="shared" si="4"/>
        <v/>
      </c>
      <c r="J262" s="3"/>
      <c r="K262" s="5" t="str">
        <f>IFERROR(Tabla3[[#This Row],[USD]]/$B$1,"")</f>
        <v/>
      </c>
    </row>
    <row r="263" spans="4:11" ht="15.75" x14ac:dyDescent="0.25">
      <c r="D263" s="2">
        <v>262</v>
      </c>
      <c r="E263" s="6"/>
      <c r="F263" s="2"/>
      <c r="G263" s="2"/>
      <c r="H263" s="2"/>
      <c r="I263" s="2" t="str">
        <f t="shared" si="4"/>
        <v/>
      </c>
      <c r="J263" s="3"/>
      <c r="K263" s="5" t="str">
        <f>IFERROR(Tabla3[[#This Row],[USD]]/$B$1,"")</f>
        <v/>
      </c>
    </row>
    <row r="264" spans="4:11" ht="15.75" x14ac:dyDescent="0.25">
      <c r="D264" s="2">
        <v>263</v>
      </c>
      <c r="E264" s="6"/>
      <c r="F264" s="2"/>
      <c r="G264" s="2"/>
      <c r="H264" s="2"/>
      <c r="I264" s="2" t="str">
        <f t="shared" si="4"/>
        <v/>
      </c>
      <c r="J264" s="3"/>
      <c r="K264" s="5" t="str">
        <f>IFERROR(Tabla3[[#This Row],[USD]]/$B$1,"")</f>
        <v/>
      </c>
    </row>
    <row r="265" spans="4:11" ht="15.75" x14ac:dyDescent="0.25">
      <c r="D265" s="2">
        <v>264</v>
      </c>
      <c r="E265" s="6"/>
      <c r="F265" s="2"/>
      <c r="G265" s="2"/>
      <c r="H265" s="2"/>
      <c r="I265" s="2" t="str">
        <f t="shared" si="4"/>
        <v/>
      </c>
      <c r="J265" s="3"/>
      <c r="K265" s="5" t="str">
        <f>IFERROR(Tabla3[[#This Row],[USD]]/$B$1,"")</f>
        <v/>
      </c>
    </row>
    <row r="266" spans="4:11" ht="15.75" x14ac:dyDescent="0.25">
      <c r="D266" s="2">
        <v>265</v>
      </c>
      <c r="E266" s="6"/>
      <c r="F266" s="2"/>
      <c r="G266" s="2"/>
      <c r="H266" s="2"/>
      <c r="I266" s="2" t="str">
        <f t="shared" si="4"/>
        <v/>
      </c>
      <c r="J266" s="3"/>
      <c r="K266" s="5" t="str">
        <f>IFERROR(Tabla3[[#This Row],[USD]]/$B$1,"")</f>
        <v/>
      </c>
    </row>
    <row r="267" spans="4:11" ht="15.75" x14ac:dyDescent="0.25">
      <c r="D267" s="2">
        <v>266</v>
      </c>
      <c r="E267" s="6"/>
      <c r="F267" s="2"/>
      <c r="G267" s="2"/>
      <c r="H267" s="2"/>
      <c r="I267" s="2" t="str">
        <f t="shared" si="4"/>
        <v/>
      </c>
      <c r="J267" s="3"/>
      <c r="K267" s="5" t="str">
        <f>IFERROR(Tabla3[[#This Row],[USD]]/$B$1,"")</f>
        <v/>
      </c>
    </row>
    <row r="268" spans="4:11" ht="15.75" x14ac:dyDescent="0.25">
      <c r="D268" s="2">
        <v>267</v>
      </c>
      <c r="E268" s="6"/>
      <c r="F268" s="2"/>
      <c r="G268" s="2"/>
      <c r="H268" s="2"/>
      <c r="I268" s="2" t="str">
        <f t="shared" si="4"/>
        <v/>
      </c>
      <c r="J268" s="3"/>
      <c r="K268" s="5" t="str">
        <f>IFERROR(Tabla3[[#This Row],[USD]]/$B$1,"")</f>
        <v/>
      </c>
    </row>
    <row r="269" spans="4:11" ht="15.75" x14ac:dyDescent="0.25">
      <c r="D269" s="2">
        <v>268</v>
      </c>
      <c r="E269" s="6"/>
      <c r="F269" s="2"/>
      <c r="G269" s="2"/>
      <c r="H269" s="2"/>
      <c r="I269" s="2" t="str">
        <f t="shared" si="4"/>
        <v/>
      </c>
      <c r="J269" s="3"/>
      <c r="K269" s="5" t="str">
        <f>IFERROR(Tabla3[[#This Row],[USD]]/$B$1,"")</f>
        <v/>
      </c>
    </row>
    <row r="270" spans="4:11" ht="15.75" x14ac:dyDescent="0.25">
      <c r="D270" s="2">
        <v>269</v>
      </c>
      <c r="E270" s="6"/>
      <c r="F270" s="2"/>
      <c r="G270" s="2"/>
      <c r="H270" s="2"/>
      <c r="I270" s="2" t="str">
        <f t="shared" si="4"/>
        <v/>
      </c>
      <c r="J270" s="3"/>
      <c r="K270" s="5" t="str">
        <f>IFERROR(Tabla3[[#This Row],[USD]]/$B$1,"")</f>
        <v/>
      </c>
    </row>
    <row r="271" spans="4:11" ht="15.75" x14ac:dyDescent="0.25">
      <c r="D271" s="2">
        <v>270</v>
      </c>
      <c r="E271" s="6"/>
      <c r="F271" s="2"/>
      <c r="G271" s="2"/>
      <c r="H271" s="2"/>
      <c r="I271" s="2" t="str">
        <f t="shared" si="4"/>
        <v/>
      </c>
      <c r="J271" s="3"/>
      <c r="K271" s="5" t="str">
        <f>IFERROR(Tabla3[[#This Row],[USD]]/$B$1,"")</f>
        <v/>
      </c>
    </row>
    <row r="272" spans="4:11" ht="15.75" x14ac:dyDescent="0.25">
      <c r="D272" s="2">
        <v>271</v>
      </c>
      <c r="E272" s="6"/>
      <c r="F272" s="2"/>
      <c r="G272" s="2"/>
      <c r="H272" s="2"/>
      <c r="I272" s="2" t="str">
        <f t="shared" si="4"/>
        <v/>
      </c>
      <c r="J272" s="3"/>
      <c r="K272" s="5" t="str">
        <f>IFERROR(Tabla3[[#This Row],[USD]]/$B$1,"")</f>
        <v/>
      </c>
    </row>
    <row r="273" spans="4:11" ht="15.75" x14ac:dyDescent="0.25">
      <c r="D273" s="2">
        <v>272</v>
      </c>
      <c r="E273" s="6"/>
      <c r="F273" s="2"/>
      <c r="G273" s="2"/>
      <c r="H273" s="2"/>
      <c r="I273" s="2" t="str">
        <f t="shared" si="4"/>
        <v/>
      </c>
      <c r="J273" s="3"/>
      <c r="K273" s="5" t="str">
        <f>IFERROR(Tabla3[[#This Row],[USD]]/$B$1,"")</f>
        <v/>
      </c>
    </row>
    <row r="274" spans="4:11" ht="15.75" x14ac:dyDescent="0.25">
      <c r="D274" s="2">
        <v>273</v>
      </c>
      <c r="E274" s="6"/>
      <c r="F274" s="2"/>
      <c r="G274" s="2"/>
      <c r="H274" s="2"/>
      <c r="I274" s="2" t="str">
        <f t="shared" si="4"/>
        <v/>
      </c>
      <c r="J274" s="3"/>
      <c r="K274" s="5" t="str">
        <f>IFERROR(Tabla3[[#This Row],[USD]]/$B$1,"")</f>
        <v/>
      </c>
    </row>
    <row r="275" spans="4:11" ht="15.75" x14ac:dyDescent="0.25">
      <c r="D275" s="2">
        <v>274</v>
      </c>
      <c r="E275" s="6"/>
      <c r="F275" s="2"/>
      <c r="G275" s="2"/>
      <c r="H275" s="2"/>
      <c r="I275" s="2" t="str">
        <f t="shared" si="4"/>
        <v/>
      </c>
      <c r="J275" s="3"/>
      <c r="K275" s="5" t="str">
        <f>IFERROR(Tabla3[[#This Row],[USD]]/$B$1,"")</f>
        <v/>
      </c>
    </row>
    <row r="276" spans="4:11" ht="15.75" x14ac:dyDescent="0.25">
      <c r="D276" s="2">
        <v>275</v>
      </c>
      <c r="E276" s="6"/>
      <c r="F276" s="2"/>
      <c r="G276" s="2"/>
      <c r="H276" s="2"/>
      <c r="I276" s="2" t="str">
        <f t="shared" si="4"/>
        <v/>
      </c>
      <c r="J276" s="3"/>
      <c r="K276" s="5" t="str">
        <f>IFERROR(Tabla3[[#This Row],[USD]]/$B$1,"")</f>
        <v/>
      </c>
    </row>
    <row r="277" spans="4:11" ht="15.75" x14ac:dyDescent="0.25">
      <c r="D277" s="2">
        <v>276</v>
      </c>
      <c r="E277" s="6"/>
      <c r="F277" s="2"/>
      <c r="G277" s="2"/>
      <c r="H277" s="2"/>
      <c r="I277" s="2" t="str">
        <f t="shared" si="4"/>
        <v/>
      </c>
      <c r="J277" s="3"/>
      <c r="K277" s="5" t="str">
        <f>IFERROR(Tabla3[[#This Row],[USD]]/$B$1,"")</f>
        <v/>
      </c>
    </row>
    <row r="278" spans="4:11" ht="15.75" x14ac:dyDescent="0.25">
      <c r="D278" s="2">
        <v>277</v>
      </c>
      <c r="E278" s="6"/>
      <c r="F278" s="2"/>
      <c r="G278" s="2"/>
      <c r="H278" s="2"/>
      <c r="I278" s="2" t="str">
        <f t="shared" si="4"/>
        <v/>
      </c>
      <c r="J278" s="3"/>
      <c r="K278" s="5" t="str">
        <f>IFERROR(Tabla3[[#This Row],[USD]]/$B$1,"")</f>
        <v/>
      </c>
    </row>
    <row r="279" spans="4:11" ht="15.75" x14ac:dyDescent="0.25">
      <c r="D279" s="2">
        <v>278</v>
      </c>
      <c r="E279" s="6"/>
      <c r="F279" s="2"/>
      <c r="G279" s="2"/>
      <c r="H279" s="2"/>
      <c r="I279" s="2" t="str">
        <f t="shared" si="4"/>
        <v/>
      </c>
      <c r="J279" s="3"/>
      <c r="K279" s="5" t="str">
        <f>IFERROR(Tabla3[[#This Row],[USD]]/$B$1,"")</f>
        <v/>
      </c>
    </row>
    <row r="280" spans="4:11" ht="15.75" x14ac:dyDescent="0.25">
      <c r="D280" s="2">
        <v>279</v>
      </c>
      <c r="E280" s="6"/>
      <c r="F280" s="2"/>
      <c r="G280" s="2"/>
      <c r="H280" s="2"/>
      <c r="I280" s="2" t="str">
        <f t="shared" si="4"/>
        <v/>
      </c>
      <c r="J280" s="3"/>
      <c r="K280" s="5" t="str">
        <f>IFERROR(Tabla3[[#This Row],[USD]]/$B$1,"")</f>
        <v/>
      </c>
    </row>
    <row r="281" spans="4:11" ht="15.75" x14ac:dyDescent="0.25">
      <c r="D281" s="2">
        <v>280</v>
      </c>
      <c r="E281" s="6"/>
      <c r="F281" s="2"/>
      <c r="G281" s="2"/>
      <c r="H281" s="2"/>
      <c r="I281" s="2" t="str">
        <f t="shared" si="4"/>
        <v/>
      </c>
      <c r="J281" s="3"/>
      <c r="K281" s="5" t="str">
        <f>IFERROR(Tabla3[[#This Row],[USD]]/$B$1,"")</f>
        <v/>
      </c>
    </row>
    <row r="282" spans="4:11" ht="15.75" x14ac:dyDescent="0.25">
      <c r="D282" s="2">
        <v>281</v>
      </c>
      <c r="E282" s="6"/>
      <c r="F282" s="2"/>
      <c r="G282" s="2"/>
      <c r="H282" s="2"/>
      <c r="I282" s="2" t="str">
        <f t="shared" si="4"/>
        <v/>
      </c>
      <c r="J282" s="3"/>
      <c r="K282" s="5" t="str">
        <f>IFERROR(Tabla3[[#This Row],[USD]]/$B$1,"")</f>
        <v/>
      </c>
    </row>
    <row r="283" spans="4:11" ht="15.75" x14ac:dyDescent="0.25">
      <c r="D283" s="2">
        <v>282</v>
      </c>
      <c r="E283" s="6"/>
      <c r="F283" s="2"/>
      <c r="G283" s="2"/>
      <c r="H283" s="2"/>
      <c r="I283" s="2" t="str">
        <f t="shared" si="4"/>
        <v/>
      </c>
      <c r="J283" s="3"/>
      <c r="K283" s="5" t="str">
        <f>IFERROR(Tabla3[[#This Row],[USD]]/$B$1,"")</f>
        <v/>
      </c>
    </row>
    <row r="284" spans="4:11" ht="15.75" x14ac:dyDescent="0.25">
      <c r="D284" s="2">
        <v>283</v>
      </c>
      <c r="E284" s="6"/>
      <c r="F284" s="2"/>
      <c r="G284" s="2"/>
      <c r="H284" s="2"/>
      <c r="I284" s="2" t="str">
        <f t="shared" si="4"/>
        <v/>
      </c>
      <c r="J284" s="3"/>
      <c r="K284" s="5" t="str">
        <f>IFERROR(Tabla3[[#This Row],[USD]]/$B$1,"")</f>
        <v/>
      </c>
    </row>
    <row r="285" spans="4:11" ht="15.75" x14ac:dyDescent="0.25">
      <c r="D285" s="2">
        <v>284</v>
      </c>
      <c r="E285" s="6"/>
      <c r="F285" s="2"/>
      <c r="G285" s="2"/>
      <c r="H285" s="2"/>
      <c r="I285" s="2" t="str">
        <f t="shared" si="4"/>
        <v/>
      </c>
      <c r="J285" s="3"/>
      <c r="K285" s="5" t="str">
        <f>IFERROR(Tabla3[[#This Row],[USD]]/$B$1,"")</f>
        <v/>
      </c>
    </row>
    <row r="286" spans="4:11" ht="15.75" x14ac:dyDescent="0.25">
      <c r="D286" s="2">
        <v>285</v>
      </c>
      <c r="E286" s="6"/>
      <c r="F286" s="2"/>
      <c r="G286" s="2"/>
      <c r="H286" s="2"/>
      <c r="I286" s="2" t="str">
        <f t="shared" si="4"/>
        <v/>
      </c>
      <c r="J286" s="3"/>
      <c r="K286" s="5" t="str">
        <f>IFERROR(Tabla3[[#This Row],[USD]]/$B$1,"")</f>
        <v/>
      </c>
    </row>
    <row r="287" spans="4:11" ht="15.75" x14ac:dyDescent="0.25">
      <c r="D287" s="2">
        <v>286</v>
      </c>
      <c r="E287" s="2"/>
      <c r="F287" s="2"/>
      <c r="G287" s="2"/>
      <c r="H287" s="2"/>
      <c r="I287" s="2" t="str">
        <f t="shared" si="4"/>
        <v/>
      </c>
      <c r="J287" s="3"/>
      <c r="K287" s="5" t="str">
        <f>IFERROR(Tabla3[[#This Row],[USD]]/$B$1,"")</f>
        <v/>
      </c>
    </row>
    <row r="288" spans="4:11" ht="15.75" x14ac:dyDescent="0.25">
      <c r="D288" s="2">
        <v>287</v>
      </c>
      <c r="E288" s="2"/>
      <c r="F288" s="2"/>
      <c r="G288" s="2"/>
      <c r="H288" s="2"/>
      <c r="I288" s="2" t="str">
        <f t="shared" si="4"/>
        <v/>
      </c>
      <c r="J288" s="3"/>
      <c r="K288" s="5" t="str">
        <f>IFERROR(Tabla3[[#This Row],[USD]]/$B$1,"")</f>
        <v/>
      </c>
    </row>
    <row r="289" spans="4:11" ht="15.75" x14ac:dyDescent="0.25">
      <c r="D289" s="2">
        <v>288</v>
      </c>
      <c r="E289" s="2"/>
      <c r="F289" s="2"/>
      <c r="G289" s="2"/>
      <c r="H289" s="2"/>
      <c r="I289" s="2" t="str">
        <f t="shared" si="4"/>
        <v/>
      </c>
      <c r="J289" s="3"/>
      <c r="K289" s="5" t="str">
        <f>IFERROR(Tabla3[[#This Row],[USD]]/$B$1,"")</f>
        <v/>
      </c>
    </row>
    <row r="290" spans="4:11" ht="15.75" x14ac:dyDescent="0.25">
      <c r="D290" s="2">
        <v>289</v>
      </c>
      <c r="E290" s="2"/>
      <c r="F290" s="2"/>
      <c r="G290" s="2"/>
      <c r="H290" s="2"/>
      <c r="I290" s="2" t="str">
        <f t="shared" si="4"/>
        <v/>
      </c>
      <c r="J290" s="3"/>
      <c r="K290" s="5" t="str">
        <f>IFERROR(Tabla3[[#This Row],[USD]]/$B$1,"")</f>
        <v/>
      </c>
    </row>
    <row r="291" spans="4:11" ht="15.75" x14ac:dyDescent="0.25">
      <c r="D291" s="2">
        <v>290</v>
      </c>
      <c r="E291" s="2"/>
      <c r="F291" s="2"/>
      <c r="G291" s="2"/>
      <c r="H291" s="2"/>
      <c r="I291" s="2" t="str">
        <f t="shared" si="4"/>
        <v/>
      </c>
      <c r="J291" s="3"/>
      <c r="K291" s="5" t="str">
        <f>IFERROR(Tabla3[[#This Row],[USD]]/$B$1,"")</f>
        <v/>
      </c>
    </row>
    <row r="292" spans="4:11" ht="15.75" x14ac:dyDescent="0.25">
      <c r="D292" s="2">
        <v>291</v>
      </c>
      <c r="E292" s="2"/>
      <c r="F292" s="2"/>
      <c r="G292" s="2"/>
      <c r="H292" s="2"/>
      <c r="I292" s="2" t="str">
        <f t="shared" si="4"/>
        <v/>
      </c>
      <c r="J292" s="3"/>
      <c r="K292" s="5" t="str">
        <f>IFERROR(Tabla3[[#This Row],[USD]]/$B$1,"")</f>
        <v/>
      </c>
    </row>
    <row r="293" spans="4:11" ht="15.75" x14ac:dyDescent="0.25">
      <c r="D293" s="2">
        <v>292</v>
      </c>
      <c r="E293" s="2"/>
      <c r="F293" s="2"/>
      <c r="G293" s="2"/>
      <c r="H293" s="2"/>
      <c r="I293" s="2" t="str">
        <f t="shared" si="4"/>
        <v/>
      </c>
      <c r="J293" s="3"/>
      <c r="K293" s="5" t="str">
        <f>IFERROR(Tabla3[[#This Row],[USD]]/$B$1,"")</f>
        <v/>
      </c>
    </row>
    <row r="294" spans="4:11" ht="15.75" x14ac:dyDescent="0.25">
      <c r="D294" s="2">
        <v>293</v>
      </c>
      <c r="E294" s="2"/>
      <c r="F294" s="2"/>
      <c r="G294" s="2"/>
      <c r="H294" s="2"/>
      <c r="I294" s="2" t="str">
        <f t="shared" si="4"/>
        <v/>
      </c>
      <c r="J294" s="3"/>
      <c r="K294" s="5" t="str">
        <f>IFERROR(Tabla3[[#This Row],[USD]]/$B$1,"")</f>
        <v/>
      </c>
    </row>
    <row r="295" spans="4:11" ht="15.75" x14ac:dyDescent="0.25">
      <c r="D295" s="2">
        <v>294</v>
      </c>
      <c r="E295" s="2"/>
      <c r="F295" s="2"/>
      <c r="G295" s="2"/>
      <c r="H295" s="2"/>
      <c r="I295" s="2" t="str">
        <f t="shared" si="4"/>
        <v/>
      </c>
      <c r="J295" s="3"/>
      <c r="K295" s="5" t="str">
        <f>IFERROR(Tabla3[[#This Row],[USD]]/$B$1,"")</f>
        <v/>
      </c>
    </row>
    <row r="296" spans="4:11" ht="15.75" x14ac:dyDescent="0.25">
      <c r="D296" s="2">
        <v>295</v>
      </c>
      <c r="E296" s="2"/>
      <c r="F296" s="2"/>
      <c r="G296" s="2"/>
      <c r="H296" s="2"/>
      <c r="I296" s="2" t="str">
        <f t="shared" si="4"/>
        <v/>
      </c>
      <c r="J296" s="3"/>
      <c r="K296" s="5" t="str">
        <f>IFERROR(Tabla3[[#This Row],[USD]]/$B$1,"")</f>
        <v/>
      </c>
    </row>
    <row r="297" spans="4:11" ht="15.75" x14ac:dyDescent="0.25">
      <c r="D297" s="2">
        <v>296</v>
      </c>
      <c r="E297" s="2"/>
      <c r="F297" s="2"/>
      <c r="G297" s="2"/>
      <c r="H297" s="2"/>
      <c r="I297" s="2" t="str">
        <f t="shared" si="4"/>
        <v/>
      </c>
      <c r="J297" s="3"/>
      <c r="K297" s="5" t="str">
        <f>IFERROR(Tabla3[[#This Row],[USD]]/$B$1,"")</f>
        <v/>
      </c>
    </row>
    <row r="298" spans="4:11" ht="15.75" x14ac:dyDescent="0.25">
      <c r="D298" s="2">
        <v>297</v>
      </c>
      <c r="E298" s="2"/>
      <c r="F298" s="2"/>
      <c r="G298" s="2"/>
      <c r="H298" s="2"/>
      <c r="I298" s="2" t="str">
        <f t="shared" si="4"/>
        <v/>
      </c>
      <c r="J298" s="3"/>
      <c r="K298" s="5" t="str">
        <f>IFERROR(Tabla3[[#This Row],[USD]]/$B$1,"")</f>
        <v/>
      </c>
    </row>
    <row r="299" spans="4:11" ht="15.75" x14ac:dyDescent="0.25">
      <c r="D299" s="2">
        <v>298</v>
      </c>
      <c r="E299" s="2"/>
      <c r="F299" s="2"/>
      <c r="G299" s="2"/>
      <c r="H299" s="2"/>
      <c r="I299" s="2" t="str">
        <f t="shared" si="4"/>
        <v/>
      </c>
      <c r="J299" s="3"/>
      <c r="K299" s="5" t="str">
        <f>IFERROR(Tabla3[[#This Row],[USD]]/$B$1,"")</f>
        <v/>
      </c>
    </row>
    <row r="300" spans="4:11" ht="15.75" x14ac:dyDescent="0.25">
      <c r="D300" s="2">
        <v>299</v>
      </c>
      <c r="E300" s="2"/>
      <c r="F300" s="2"/>
      <c r="G300" s="2"/>
      <c r="H300" s="2"/>
      <c r="I300" s="2" t="str">
        <f t="shared" si="4"/>
        <v/>
      </c>
      <c r="J300" s="3"/>
      <c r="K300" s="5" t="str">
        <f>IFERROR(Tabla3[[#This Row],[USD]]/$B$1,"")</f>
        <v/>
      </c>
    </row>
    <row r="301" spans="4:11" ht="15.75" x14ac:dyDescent="0.25">
      <c r="D301" s="2">
        <v>300</v>
      </c>
      <c r="E301" s="2"/>
      <c r="F301" s="2"/>
      <c r="G301" s="2"/>
      <c r="H301" s="2"/>
      <c r="I301" s="2" t="str">
        <f t="shared" si="4"/>
        <v/>
      </c>
      <c r="J301" s="3"/>
      <c r="K301" s="5" t="str">
        <f>IFERROR(Tabla3[[#This Row],[USD]]/$B$1,"")</f>
        <v/>
      </c>
    </row>
    <row r="397" spans="18:34" ht="18.75" customHeight="1" x14ac:dyDescent="0.25">
      <c r="R397" s="86" t="s">
        <v>26</v>
      </c>
      <c r="S397" s="86"/>
      <c r="T397" s="86"/>
      <c r="U397" s="86"/>
      <c r="V397" s="86"/>
      <c r="X397" s="83" t="s">
        <v>28</v>
      </c>
      <c r="Y397" s="83"/>
      <c r="Z397" s="83"/>
      <c r="AA397" s="83"/>
      <c r="AB397" s="83"/>
      <c r="AD397" s="84" t="s">
        <v>27</v>
      </c>
      <c r="AE397" s="84"/>
      <c r="AF397" s="84"/>
      <c r="AG397" s="84"/>
      <c r="AH397" s="84"/>
    </row>
    <row r="398" spans="18:34" ht="15.75" customHeight="1" x14ac:dyDescent="0.25">
      <c r="R398" s="86"/>
      <c r="S398" s="86"/>
      <c r="T398" s="86"/>
      <c r="U398" s="86"/>
      <c r="V398" s="86"/>
      <c r="X398" s="83"/>
      <c r="Y398" s="83"/>
      <c r="Z398" s="83"/>
      <c r="AA398" s="83"/>
      <c r="AB398" s="83"/>
      <c r="AD398" s="84"/>
      <c r="AE398" s="84"/>
      <c r="AF398" s="84"/>
      <c r="AG398" s="84"/>
      <c r="AH398" s="84"/>
    </row>
    <row r="401" spans="18:34" ht="15.75" x14ac:dyDescent="0.25">
      <c r="R401" s="27" t="str">
        <f>IFERROR((COUNTIFS(I401:I1398,"100x",J401:J1398,"Ida",L401:L1398,"Ganado")+(COUNTIFS(I401:I1398,"100x",J401:J1398,"Ida",L401:L1398,"Break Even")))/(COUNTIFS(I401:I1398,"100x",J401:J1398,"Ida")),"Sin Datos")</f>
        <v>Sin Datos</v>
      </c>
      <c r="S401" s="27" t="str">
        <f>IFERROR((COUNTIFS(I401:I1398,"100x",J401:J1398,"Vuelta",L401:L1398,"Ganado")+(COUNTIFS(I401:I1398,"100x",J401:J1398,"Vuelta",L401:L1398,"Break Even")))/(COUNTIFS(I401:I1398,"100x",J401:J1398,"Vuelta")),"Sin Datos")</f>
        <v>Sin Datos</v>
      </c>
      <c r="T401" s="27" t="str">
        <f>IFERROR((COUNTIFS(I401:I1398,"100x",K401:K1398,"Long",L401:L1398,"Ganado")+(COUNTIFS(I401:I1398,"100x",K401:K1398,"Long",L401:L1398,"Break Even")))/(COUNTIFS(I401:I1398,"100x",K401:K1398,"Long")),"Sin Datos")</f>
        <v>Sin Datos</v>
      </c>
      <c r="U401" s="27" t="str">
        <f>IFERROR((COUNTIFS(I401:I1398,"100x",K401:K1398,"Short",L401:L1398,"Ganado")+(COUNTIFS(I401:I1398,"100x",K401:K1398,"Short",L401:L1398,"Break Even")))/(COUNTIFS(I401:I1398,"100x",K401:K1398,"Short")),"Sin Datos")</f>
        <v>Sin Datos</v>
      </c>
      <c r="V401" s="4" t="str">
        <f>IFERROR((COUNTIFS(I401:I1398,"100x",L401:L1398,"Ganado")+(COUNTIFS(I401:I1398,"100x",L401:L1398,"Break Even")))/(Q401),"Sin Datos")</f>
        <v>Sin Datos</v>
      </c>
      <c r="X401" s="27" t="str">
        <f>IFERROR((COUNTIFS(O401:O1398,"100x",P401:P1398,"Ida",R401:R1398,"Ganado"))/(COUNTIFS(O401:O1398,"100x",P401:P1398,"Ida")-(COUNTIFS(O401:O1398,"100x",P401:P1398,"Ida",R401:R1398,"Break Even"))),"Sin Datos")</f>
        <v>Sin Datos</v>
      </c>
      <c r="Y401" s="27" t="str">
        <f>IFERROR((COUNTIFS(O401:O1398,"100x",P401:P1398,"Vuelta",R401:R1398,"Ganado"))/(COUNTIFS(O401:O1398,"100x",P401:P1398,"Vuelta")-(COUNTIFS(O401:O1398,"100x",P401:P1398,"Vuelta",R401:R1398,"Break Even"))),"Sin Datos")</f>
        <v>Sin Datos</v>
      </c>
      <c r="Z401" s="27" t="str">
        <f>IFERROR((COUNTIFS(O401:O1398,"100x",Q401:Q1398,"Long",R401:R1398,"Ganado"))/(COUNTIFS(O401:O1398,"100x",Q401:Q1398,"Long")-(COUNTIFS(O401:O1398,"100x",Q401:Q1398,"Long",R401:R1398,"Break Even"))),"Sin Datos")</f>
        <v>Sin Datos</v>
      </c>
      <c r="AA401" s="27" t="str">
        <f>IFERROR((COUNTIFS(O401:O1398,"100x",Q401:Q1398,"Short",R401:R1398,"Ganado"))/(COUNTIFS(O401:O1398,"100x",Q401:Q1398,"Short")-(COUNTIFS(O401:O1398,"100x",Q401:Q1398,"Short",R401:R1398,"Break Even"))),"Sin Datos")</f>
        <v>Sin Datos</v>
      </c>
      <c r="AB401" s="4" t="str">
        <f>IFERROR((COUNTIFS(O401:O1398,"100x",R401:R1398,"Ganado"))/((W401)-(COUNTIFS(O401:O1398,"100x",R401:R1398,"Break Even"))),"Sin Datos")</f>
        <v>Sin Datos</v>
      </c>
      <c r="AD401" s="27" t="str">
        <f>IFERROR((COUNTIFS(U401:U1398,"100x",V401:V1398,"Ida",X401:X1398,"Ganado"))/(COUNTIFS(U401:U1398,"100x",V401:V1398,"Ida")),"Sin Datos")</f>
        <v>Sin Datos</v>
      </c>
      <c r="AE401" s="27" t="str">
        <f>IFERROR((COUNTIFS(U401:U1398,"100x",V401:V1398,"Vuelta",X401:X1398,"Ganado"))/(COUNTIFS(U401:U1398,"100x",V401:V1398,"Vuelta")),"Sin Datos")</f>
        <v>Sin Datos</v>
      </c>
      <c r="AF401" s="27" t="str">
        <f>IFERROR((COUNTIFS(U401:U1398,"100x",W401:W1398,"Long",X401:X1398,"Ganado"))/(COUNTIFS(U401:U1398,"100x",W401:W1398,"Long")),"Sin Datos")</f>
        <v>Sin Datos</v>
      </c>
      <c r="AG401" s="27" t="str">
        <f>IFERROR((COUNTIFS(U401:U1398,"100x",W401:W1398,"Short",X401:X1398,"Ganado"))/(COUNTIFS(U401:U1398,"100x",W401:W1398,"Short")),"Sin Datos")</f>
        <v>Sin Datos</v>
      </c>
      <c r="AH401" s="4" t="str">
        <f>IFERROR((COUNTIFS(U401:U1398,"100x",X401:X1398,"Ganado"))/(AC401),"Sin Datos")</f>
        <v>Sin Datos</v>
      </c>
    </row>
    <row r="402" spans="18:34" ht="15.75" x14ac:dyDescent="0.25">
      <c r="R402" s="27" t="str">
        <f>IFERROR((COUNTIFS(I401:I1398,"50x",J401:J1398,"Ida",L401:L1398,"Ganado")+(COUNTIFS(I401:I1398,"50x",J401:J1398,"Ida",L401:L1398,"Break Even")))/(COUNTIFS(I401:I1398,"50x",J401:J1398,"Ida")),"Sin Datos")</f>
        <v>Sin Datos</v>
      </c>
      <c r="S402" s="27" t="str">
        <f>IFERROR((COUNTIFS(I401:I1398,"50x",J401:J1398,"Vuelta",L401:L1398,"Ganado")+(COUNTIFS(I401:I1398,"50x",J401:J1398,"Vuelta",L401:L1398,"Break Even")))/(COUNTIFS(I401:I1398,"50x",J401:J1398,"Vuelta")),"Sin Datos")</f>
        <v>Sin Datos</v>
      </c>
      <c r="T402" s="27" t="str">
        <f>IFERROR((COUNTIFS(I401:I1398,"50x",K401:K1398,"Long",L401:L1398,"Ganado")+(COUNTIFS(I401:I1398,"50x",K401:K1398,"Long",L401:L1398,"Break Even")))/(COUNTIFS(I401:I1398,"50x",K401:K1398,"Long")),"Sin Datos")</f>
        <v>Sin Datos</v>
      </c>
      <c r="U402" s="27" t="str">
        <f>IFERROR((COUNTIFS(I401:I1398,"50x",K401:K1398,"Short",L401:L1398,"Ganado")+(COUNTIFS(I401:I1398,"50x",K401:K1398,"Short",L401:L1398,"Break Even")))/(COUNTIFS(I401:I1398,"50x",K401:K1398,"Short")),"Sin Datos")</f>
        <v>Sin Datos</v>
      </c>
      <c r="V402" s="4" t="str">
        <f>IFERROR((COUNTIFS(I401:I1398,"50x",L401:L1398,"Ganado")+(COUNTIFS(I401:I1398,"50x",L401:L1398,"Break Even")))/(Q402),"Sin Datos")</f>
        <v>Sin Datos</v>
      </c>
      <c r="X402" s="27" t="str">
        <f>IFERROR((COUNTIFS(O401:O1398,"50x",P401:P1398,"Ida",R401:R1398,"Ganado"))/(COUNTIFS(O401:O1398,"50x",P401:P1398,"Ida")-(COUNTIFS(O401:O1398,"50x",P401:P1398,"Ida",R401:R1398,"Break Even"))),"Sin Datos")</f>
        <v>Sin Datos</v>
      </c>
      <c r="Y402" s="27" t="str">
        <f>IFERROR((COUNTIFS(O401:O1398,"50x",P401:P1398,"Vuelta",R401:R1398,"Ganado"))/(COUNTIFS(O401:O1398,"50x",P401:P1398,"Vuelta")-(COUNTIFS(O401:O1398,"50x",P401:P1398,"Vuelta",R401:R1398,"Break Even"))),"Sin Datos")</f>
        <v>Sin Datos</v>
      </c>
      <c r="Z402" s="27" t="str">
        <f>IFERROR((COUNTIFS(O401:O1398,"50x",Q401:Q1398,"Long",R401:R1398,"Ganado"))/(COUNTIFS(O401:O1398,"50x",Q401:Q1398,"Long")-(COUNTIFS(O401:O1398,"50x",Q401:Q1398,"Long",R401:R1398,"Break Even"))),"Sin Datos")</f>
        <v>Sin Datos</v>
      </c>
      <c r="AA402" s="27" t="str">
        <f>IFERROR((COUNTIFS(O401:O1398,"50x",Q401:Q1398,"Short",R401:R1398,"Ganado"))/(COUNTIFS(O401:O1398,"50x",Q401:Q1398,"Short")-(COUNTIFS(O401:O1398,"50x",Q401:Q1398,"Short",R401:R1398,"Break Even"))),"Sin Datos")</f>
        <v>Sin Datos</v>
      </c>
      <c r="AB402" s="4" t="str">
        <f>IFERROR((COUNTIFS(O401:O1398,"50x",R401:R1398,"Ganado"))/((W402)-(COUNTIFS(O401:O1398,"50x",R401:R1398,"Break Even"))),"Sin Datos")</f>
        <v>Sin Datos</v>
      </c>
      <c r="AD402" s="27" t="str">
        <f>IFERROR((COUNTIFS(U401:U1398,"50x",V401:V1398,"Ida",X401:X1398,"Ganado"))/(COUNTIFS(U401:U1398,"50x",V401:V1398,"Ida")),"Sin Datos")</f>
        <v>Sin Datos</v>
      </c>
      <c r="AE402" s="27" t="str">
        <f>IFERROR((COUNTIFS(U401:U1398,"50x",V401:V1398,"Vuelta",X401:X1398,"Ganado"))/(COUNTIFS(U401:U1398,"50x",V401:V1398,"Vuelta")),"Sin Datos")</f>
        <v>Sin Datos</v>
      </c>
      <c r="AF402" s="27" t="str">
        <f>IFERROR((COUNTIFS(U401:U1398,"50x",W401:W1398,"Long",X401:X1398,"Ganado"))/(COUNTIFS(U401:U1398,"50x",W401:W1398,"Long")),"Sin Datos")</f>
        <v>Sin Datos</v>
      </c>
      <c r="AG402" s="27" t="str">
        <f>IFERROR((COUNTIFS(U401:U1398,"50x",W401:W1398,"Short",X401:X1398,"Ganado"))/(COUNTIFS(U401:U1398,"50x",W401:W1398,"Short")),"Sin Datos")</f>
        <v>Sin Datos</v>
      </c>
      <c r="AH402" s="4" t="str">
        <f>IFERROR((COUNTIFS(U401:U1398,"50x",X401:X1398,"Ganado"))/(AC402),"Sin Datos")</f>
        <v>Sin Datos</v>
      </c>
    </row>
    <row r="403" spans="18:34" ht="15.75" x14ac:dyDescent="0.25">
      <c r="R403" s="27" t="str">
        <f>IFERROR((COUNTIFS(I401:I1398,"25x",J401:J1398,"Ida",L401:L1398,"Ganado")+(COUNTIFS(I401:I1398,"25x",J401:J1398,"Ida",L401:L1398,"Break Even")))/(COUNTIFS(I401:I1398,"25x",J401:J1398,"Ida")),"Sin Datos")</f>
        <v>Sin Datos</v>
      </c>
      <c r="S403" s="27" t="str">
        <f>IFERROR((COUNTIFS(I401:I1398,"25x",J401:J1398,"Vuelta",L401:L1398,"Ganado")+(COUNTIFS(I401:I1398,"25x",J401:J1398,"Vuelta",L401:L1398,"Break Even")))/(COUNTIFS(I401:I1398,"25x",J401:J1398,"Vuelta")),"Sin Datos")</f>
        <v>Sin Datos</v>
      </c>
      <c r="T403" s="27" t="str">
        <f>IFERROR((COUNTIFS(I401:I1398,"25x",K401:K1398,"Long",L401:L1398,"Ganado")+(COUNTIFS(I401:I1398,"25x",K401:K1398,"Long",L401:L1398,"Break Even")))/(COUNTIFS(I401:I1398,"25x",K401:K1398,"Long")),"Sin Datos")</f>
        <v>Sin Datos</v>
      </c>
      <c r="U403" s="27" t="str">
        <f>IFERROR((COUNTIFS(I401:I1398,"25x",K401:K1398,"Short",L401:L1398,"Ganado")+(COUNTIFS(I401:I1398,"25x",K401:K1398,"Short",L401:L1398,"Break Even")))/(COUNTIFS(I401:I1398,"25x",K401:K1398,"Short")),"Sin Datos")</f>
        <v>Sin Datos</v>
      </c>
      <c r="V403" s="4" t="str">
        <f>IFERROR((COUNTIFS(I401:I1398,"25x",L401:L1398,"Ganado")+(COUNTIFS(I401:I1398,"25x",L401:L1398,"Break Even")))/(Q403),"Sin Datos")</f>
        <v>Sin Datos</v>
      </c>
      <c r="X403" s="27" t="str">
        <f>IFERROR((COUNTIFS(O401:O1398,"25x",P401:P1398,"Ida",R401:R1398,"Ganado"))/(COUNTIFS(O401:O1398,"25x",P401:P1398,"Ida")-(COUNTIFS(O401:O1398,"25x",P401:P1398,"Ida",R401:R1398,"Break Even"))),"Sin Datos")</f>
        <v>Sin Datos</v>
      </c>
      <c r="Y403" s="27" t="str">
        <f>IFERROR((COUNTIFS(O401:O1398,"25x",P401:P1398,"Vuelta",R401:R1398,"Ganado"))/(COUNTIFS(O401:O1398,"25x",P401:P1398,"Vuelta")-(COUNTIFS(O401:O1398,"25x",P401:P1398,"Vuelta",R401:R1398,"Break Even"))),"Sin Datos")</f>
        <v>Sin Datos</v>
      </c>
      <c r="Z403" s="27" t="str">
        <f>IFERROR((COUNTIFS(O401:O1398,"25x",Q401:Q1398,"Long",R401:R1398,"Ganado"))/(COUNTIFS(O401:O1398,"25x",Q401:Q1398,"Long")-(COUNTIFS(O401:O1398,"25x",Q401:Q1398,"Long",R401:R1398,"Break Even"))),"Sin Datos")</f>
        <v>Sin Datos</v>
      </c>
      <c r="AA403" s="27" t="str">
        <f>IFERROR((COUNTIFS(O401:O1398,"25x",Q401:Q1398,"Short",R401:R1398,"Ganado"))/(COUNTIFS(O401:O1398,"25x",Q401:Q1398,"Short")-(COUNTIFS(O401:O1398,"25x",Q401:Q1398,"Short",R401:R1398,"Break Even"))),"Sin Datos")</f>
        <v>Sin Datos</v>
      </c>
      <c r="AB403" s="4" t="str">
        <f>IFERROR((COUNTIFS(O401:O1398,"25x",R401:R1398,"Ganado"))/((W403)-(COUNTIFS(O401:O1398,"25x",R401:R1398,"Break Even"))),"Sin Datos")</f>
        <v>Sin Datos</v>
      </c>
      <c r="AD403" s="27" t="str">
        <f>IFERROR((COUNTIFS(U401:U1398,"25x",V401:V1398,"Ida",X401:X1398,"Ganado"))/(COUNTIFS(U401:U1398,"25x",V401:V1398,"Ida")),"Sin Datos")</f>
        <v>Sin Datos</v>
      </c>
      <c r="AE403" s="27" t="str">
        <f>IFERROR((COUNTIFS(U401:U1398,"25x",V401:V1398,"Vuelta",X401:X1398,"Ganado"))/(COUNTIFS(U401:U1398,"25x",V401:V1398,"Vuelta")),"Sin Datos")</f>
        <v>Sin Datos</v>
      </c>
      <c r="AF403" s="27" t="str">
        <f>IFERROR((COUNTIFS(U401:U1398,"25x",W401:W1398,"Long",X401:X1398,"Ganado"))/(COUNTIFS(U401:U1398,"25x",W401:W1398,"Long")),"Sin Datos")</f>
        <v>Sin Datos</v>
      </c>
      <c r="AG403" s="27" t="str">
        <f>IFERROR((COUNTIFS(U401:U1398,"25x",W401:W1398,"Short",X401:X1398,"Ganado"))/(COUNTIFS(U401:U1398,"25x",W401:W1398,"Short")),"Sin Datos")</f>
        <v>Sin Datos</v>
      </c>
      <c r="AH403" s="4" t="str">
        <f>IFERROR((COUNTIFS(U401:U1398,"25x",X401:X1398,"Ganado"))/(AC403),"Sin Datos")</f>
        <v>Sin Datos</v>
      </c>
    </row>
    <row r="404" spans="18:34" ht="15.75" x14ac:dyDescent="0.25">
      <c r="R404" s="27" t="str">
        <f>IFERROR((COUNTIFS(I401:I1398,"10x",J401:J1398,"Ida",L401:L1398,"Ganado")+(COUNTIFS(I401:I1398,"10x",J401:J1398,"Ida",L401:L1398,"Break Even")))/(COUNTIFS(I401:I1398,"10x",J401:J1398,"Ida")),"Sin Datos")</f>
        <v>Sin Datos</v>
      </c>
      <c r="S404" s="27" t="str">
        <f>IFERROR((COUNTIFS(I401:I1398,"10x",J401:J1398,"Vuelta",L401:L1398,"Ganado")+(COUNTIFS(I401:I1398,"10x",J401:J1398,"Vuelta",L401:L1398,"Break Even")))/(COUNTIFS(I401:I1398,"10x",J401:J1398,"Vuelta")),"Sin Datos")</f>
        <v>Sin Datos</v>
      </c>
      <c r="T404" s="27" t="str">
        <f>IFERROR((COUNTIFS(I401:I1398,"10x",K401:K1398,"Long",L401:L1398,"Ganado")+(COUNTIFS(I401:I1398,"10x",K401:K1398,"Long",L401:L1398,"Break Even")))/(COUNTIFS(I401:I1398,"10x",K401:K1398,"Long")),"Sin Datos")</f>
        <v>Sin Datos</v>
      </c>
      <c r="U404" s="27" t="str">
        <f>IFERROR((COUNTIFS(I401:I1398,"10x",K401:K1398,"Short",L401:L1398,"Ganado")+(COUNTIFS(I401:I1398,"10x",K401:K1398,"Short",L401:L1398,"Break Even")))/(COUNTIFS(I401:I1398,"10x",K401:K1398,"Short")),"Sin Datos")</f>
        <v>Sin Datos</v>
      </c>
      <c r="V404" s="4" t="str">
        <f>IFERROR((COUNTIFS(I401:I1398,"10x",L401:L1398,"Ganado")+(COUNTIFS(I401:I1398,"10x",L401:L1398,"Break Even")))/(Q404),"Sin Datos")</f>
        <v>Sin Datos</v>
      </c>
      <c r="X404" s="27" t="str">
        <f>IFERROR((COUNTIFS(O401:O1398,"10x",P401:P1398,"Ida",R401:R1398,"Ganado"))/(COUNTIFS(O401:O1398,"10x",P401:P1398,"Ida")-(COUNTIFS(O401:O1398,"10x",P401:P1398,"Ida",R401:R1398,"Break Even"))),"Sin Datos")</f>
        <v>Sin Datos</v>
      </c>
      <c r="Y404" s="27" t="str">
        <f>IFERROR((COUNTIFS(O401:O1398,"10x",P401:P1398,"Vuelta",R401:R1398,"Ganado"))/(COUNTIFS(O401:O1398,"10x",P401:P1398,"Vuelta")-(COUNTIFS(O401:O1398,"10x",P401:P1398,"Vuelta",R401:R1398,"Break Even"))),"Sin Datos")</f>
        <v>Sin Datos</v>
      </c>
      <c r="Z404" s="27" t="str">
        <f>IFERROR((COUNTIFS(O401:O1398,"10x",Q401:Q1398,"Long",R401:R1398,"Ganado"))/(COUNTIFS(O401:O1398,"10x",Q401:Q1398,"Long")-(COUNTIFS(O401:O1398,"10x",Q401:Q1398,"Long",R401:R1398,"Break Even"))),"Sin Datos")</f>
        <v>Sin Datos</v>
      </c>
      <c r="AA404" s="27" t="str">
        <f>IFERROR((COUNTIFS(O401:O1398,"10x",Q401:Q1398,"Short",R401:R1398,"Ganado"))/(COUNTIFS(O401:O1398,"10x",Q401:Q1398,"Short")-(COUNTIFS(O401:O1398,"10x",Q401:Q1398,"Short",R401:R1398,"Break Even"))),"Sin Datos")</f>
        <v>Sin Datos</v>
      </c>
      <c r="AB404" s="4" t="str">
        <f>IFERROR((COUNTIFS(O401:O1398,"10x",R401:R1398,"Ganado"))/((W404)-(COUNTIFS(O401:O1398,"10x",R401:R1398,"Break Even"))),"Sin Datos")</f>
        <v>Sin Datos</v>
      </c>
      <c r="AD404" s="27" t="str">
        <f>IFERROR((COUNTIFS(U401:U1398,"10x",V401:V1398,"Ida",X401:X1398,"Ganado"))/(COUNTIFS(U401:U1398,"10x",V401:V1398,"Ida")),"Sin Datos")</f>
        <v>Sin Datos</v>
      </c>
      <c r="AE404" s="27" t="str">
        <f>IFERROR((COUNTIFS(U401:U1398,"10x",V401:V1398,"Vuelta",X401:X1398,"Ganado"))/(COUNTIFS(U401:U1398,"10x",V401:V1398,"Vuelta")),"Sin Datos")</f>
        <v>Sin Datos</v>
      </c>
      <c r="AF404" s="27" t="str">
        <f>IFERROR((COUNTIFS(U401:U1398,"10x",W401:W1398,"Long",X401:X1398,"Ganado"))/(COUNTIFS(U401:U1398,"10x",W401:W1398,"Long")),"Sin Datos")</f>
        <v>Sin Datos</v>
      </c>
      <c r="AG404" s="27" t="str">
        <f>IFERROR((COUNTIFS(U401:U1398,"10x",W401:W1398,"Short",X401:X1398,"Ganado"))/(COUNTIFS(U401:U1398,"10x",W401:W1398,"Short")),"Sin Datos")</f>
        <v>Sin Datos</v>
      </c>
      <c r="AH404" s="4" t="str">
        <f>IFERROR((COUNTIFS(U401:U1398,"10x",X401:X1398,"Ganado"))/(AC404),"Sin Datos")</f>
        <v>Sin Datos</v>
      </c>
    </row>
    <row r="405" spans="18:34" ht="15.75" x14ac:dyDescent="0.25">
      <c r="R405" s="27" t="str">
        <f>IFERROR((COUNTIFS(I401:I1398,"5x",J401:J1398,"Ida",L401:L1398,"Ganado")+(COUNTIFS(I401:I1398,"5x",J401:J1398,"Ida",L401:L1398,"Break Even")))/(COUNTIFS(I401:I1398,"5x",J401:J1398,"Ida")),"Sin Datos")</f>
        <v>Sin Datos</v>
      </c>
      <c r="S405" s="27" t="str">
        <f>IFERROR((COUNTIFS(I401:I1398,"5x",J401:J1398,"Vuelta",L401:L1398,"Ganado")+(COUNTIFS(I401:I1398,"5x",J401:J1398,"Vuelta",L401:L1398,"Break Even")))/(COUNTIFS(I401:I1398,"5x",J401:J1398,"Vuelta")),"Sin Datos")</f>
        <v>Sin Datos</v>
      </c>
      <c r="T405" s="27" t="str">
        <f>IFERROR((COUNTIFS(I401:I1398,"5x",K401:K1398,"Long",L401:L1398,"Ganado")+(COUNTIFS(I401:I1398,"5x",K401:K1398,"Long",L401:L1398,"Break Even")))/(COUNTIFS(I401:I1398,"5x",K401:K1398,"Long")),"Sin Datos")</f>
        <v>Sin Datos</v>
      </c>
      <c r="U405" s="27" t="str">
        <f>IFERROR((COUNTIFS(I401:I1398,"5x",K401:K1398,"Short",L401:L1398,"Ganado")+(COUNTIFS(I401:I1398,"5x",K401:K1398,"Short",L401:L1398,"Break Even")))/(COUNTIFS(I401:I1398,"5x",K401:K1398,"Short")),"Sin Datos")</f>
        <v>Sin Datos</v>
      </c>
      <c r="V405" s="4" t="str">
        <f>IFERROR((COUNTIFS(I401:I1398,"5x",L401:L1398,"Ganado")+(COUNTIFS(I401:I1398,"5x",L401:L1398,"Break Even")))/(Q405),"Sin Datos")</f>
        <v>Sin Datos</v>
      </c>
      <c r="X405" s="27" t="str">
        <f>IFERROR((COUNTIFS(O401:O1398,"5x",P401:P1398,"Ida",R401:R1398,"Ganado"))/(COUNTIFS(O401:O1398,"5x",P401:P1398,"Ida")-(COUNTIFS(O401:O1398,"5x",P401:P1398,"Ida",R401:R1398,"Break Even"))),"Sin Datos")</f>
        <v>Sin Datos</v>
      </c>
      <c r="Y405" s="27" t="str">
        <f>IFERROR((COUNTIFS(O401:O1398,"5x",P401:P1398,"Vuelta",R401:R1398,"Ganado"))/(COUNTIFS(O401:O1398,"5x",P401:P1398,"Vuelta")-(COUNTIFS(O401:O1398,"5x",P401:P1398,"Vuelta",R401:R1398,"Break Even"))),"Sin Datos")</f>
        <v>Sin Datos</v>
      </c>
      <c r="Z405" s="27" t="str">
        <f>IFERROR((COUNTIFS(O401:O1398,"5x",Q401:Q1398,"Long",R401:R1398,"Ganado"))/(COUNTIFS(O401:O1398,"5x",Q401:Q1398,"Long")-(COUNTIFS(O401:O1398,"5x",Q401:Q1398,"Long",R401:R1398,"Break Even"))),"Sin Datos")</f>
        <v>Sin Datos</v>
      </c>
      <c r="AA405" s="27" t="str">
        <f>IFERROR((COUNTIFS(O401:O1398,"5x",Q401:Q1398,"Short",R401:R1398,"Ganado"))/(COUNTIFS(O401:O1398,"5x",Q401:Q1398,"Short")-(COUNTIFS(O401:O1398,"5x",Q401:Q1398,"Short",R401:R1398,"Break Even"))),"Sin Datos")</f>
        <v>Sin Datos</v>
      </c>
      <c r="AB405" s="4" t="str">
        <f>IFERROR((COUNTIFS(O401:O1398,"5x",R401:R1398,"Ganado"))/((W405)-(COUNTIFS(O401:O1398,"5x",R401:R1398,"Break Even"))),"Sin Datos")</f>
        <v>Sin Datos</v>
      </c>
      <c r="AD405" s="27" t="str">
        <f>IFERROR((COUNTIFS(U401:U1398,"5x",V401:V1398,"Ida",X401:X1398,"Ganado"))/(COUNTIFS(U401:U1398,"5x",V401:V1398,"Ida")),"Sin Datos")</f>
        <v>Sin Datos</v>
      </c>
      <c r="AE405" s="27" t="str">
        <f>IFERROR((COUNTIFS(U401:U1398,"5x",V401:V1398,"Vuelta",X401:X1398,"Ganado"))/(COUNTIFS(U401:U1398,"5x",V401:V1398,"Vuelta")),"Sin Datos")</f>
        <v>Sin Datos</v>
      </c>
      <c r="AF405" s="27" t="str">
        <f>IFERROR((COUNTIFS(U401:U1398,"5x",W401:W1398,"Long",X401:X1398,"Ganado"))/(COUNTIFS(U401:U1398,"5x",W401:W1398,"Long")),"Sin Datos")</f>
        <v>Sin Datos</v>
      </c>
      <c r="AG405" s="27" t="str">
        <f>IFERROR((COUNTIFS(U401:U1398,"5x",W401:W1398,"Short",X401:X1398,"Ganado"))/(COUNTIFS(U401:U1398,"5x",W401:W1398,"Short")),"Sin Datos")</f>
        <v>Sin Datos</v>
      </c>
      <c r="AH405" s="4" t="str">
        <f>IFERROR((COUNTIFS(U401:U1398,"5x",X401:X1398,"Ganado"))/(AC405),"Sin Datos")</f>
        <v>Sin Datos</v>
      </c>
    </row>
    <row r="406" spans="18:34" ht="15.75" x14ac:dyDescent="0.25">
      <c r="R406" s="27" t="str">
        <f>IFERROR((COUNTIFS(I401:I1398,"BatiBot",J401:J1398,"Ida",L401:L1398,"Ganado")+(COUNTIFS(I401:I1398,"BatiBot",J401:J1398,"Ida",L401:L1398,"Break Even")))/(COUNTIFS(I401:I1398,"BatiBot",J401:J1398,"Ida")),"Sin Datos")</f>
        <v>Sin Datos</v>
      </c>
      <c r="S406" s="27" t="str">
        <f>IFERROR((COUNTIFS(I401:I1398,"BatiBot",J401:J1398,"Vuelta",L401:L1398,"Ganado")+(COUNTIFS(I401:I1398,"BatiBot",J401:J1398,"Vuelta",L401:L1398,"Break Even")))/(COUNTIFS(I401:I1398,"BatiBot",J401:J1398,"Vuelta")),"Sin Datos")</f>
        <v>Sin Datos</v>
      </c>
      <c r="T406" s="27" t="str">
        <f>IFERROR((COUNTIFS(I401:I1398,"BatiBot",K401:K1398,"Long",L401:L1398,"Ganado")+(COUNTIFS(I401:I1398,"BatiBot",K401:K1398,"Long",L401:L1398,"Break Even")))/(COUNTIFS(I401:I1398,"BatiBot",K401:K1398,"Long")),"Sin Datos")</f>
        <v>Sin Datos</v>
      </c>
      <c r="U406" s="27" t="str">
        <f>IFERROR((COUNTIFS(I401:I1398,"BatiBot",K401:K1398,"Short",L401:L1398,"Ganado")+(COUNTIFS(I401:I1398,"BatiBot",K401:K1398,"Short",L401:L1398,"Break Even")))/(COUNTIFS(I401:I1398,"BatiBot",K401:K1398,"Short")),"Sin Datos")</f>
        <v>Sin Datos</v>
      </c>
      <c r="V406" s="4" t="str">
        <f>IFERROR((COUNTIFS(I401:I1398,"BatiBot",L401:L1398,"Ganado")+(COUNTIFS(I401:I1398,"BatiBot",L401:L1398,"Break Even")))/(Q406),"Sin Datos")</f>
        <v>Sin Datos</v>
      </c>
      <c r="X406" s="27" t="str">
        <f>IFERROR((COUNTIFS(O401:O1398,"BatiBot",P401:P1398,"Ida",R401:R1398,"Ganado"))/(COUNTIFS(O401:O1398,"BatiBot",P401:P1398,"Ida")-(COUNTIFS(O401:O1398,"BatiBot",P401:P1398,"Ida",R401:R1398,"Break Even"))),"Sin Datos")</f>
        <v>Sin Datos</v>
      </c>
      <c r="Y406" s="27" t="str">
        <f>IFERROR((COUNTIFS(O401:O1398,"BatiBot",P401:P1398,"Vuelta",R401:R1398,"Ganado"))/(COUNTIFS(O401:O1398,"BatiBot",P401:P1398,"Vuelta")-(COUNTIFS(O401:O1398,"BatiBot",P401:P1398,"Vuelta",R401:R1398,"Break Even"))),"Sin Datos")</f>
        <v>Sin Datos</v>
      </c>
      <c r="Z406" s="27" t="str">
        <f>IFERROR((COUNTIFS(O401:O1398,"BatiBot",Q401:Q1398,"Long",R401:R1398,"Ganado"))/(COUNTIFS(O401:O1398,"BatiBot",Q401:Q1398,"Long")-(COUNTIFS(O401:O1398,"BatiBot",Q401:Q1398,"Long",R401:R1398,"Break Even"))),"Sin Datos")</f>
        <v>Sin Datos</v>
      </c>
      <c r="AA406" s="27" t="str">
        <f>IFERROR((COUNTIFS(O401:O1398,"BatiBot",Q401:Q1398,"Short",R401:R1398,"Ganado"))/(COUNTIFS(O401:O1398,"BatiBot",Q401:Q1398,"Short")-(COUNTIFS(O401:O1398,"BatiBot",Q401:Q1398,"Short",R401:R1398,"Break Even"))),"Sin Datos")</f>
        <v>Sin Datos</v>
      </c>
      <c r="AB406" s="4" t="str">
        <f>IFERROR((COUNTIFS(O401:O1398,"BatiBot",R401:R1398,"Ganado"))/((W406)-(COUNTIFS(O401:O1398,"BatiBot",R401:R1398,"Break Even"))),"Sin Datos")</f>
        <v>Sin Datos</v>
      </c>
      <c r="AD406" s="27" t="str">
        <f>IFERROR((COUNTIFS(U401:U1398,"BatiBot",V401:V1398,"Ida",X401:X1398,"Ganado"))/(COUNTIFS(U401:U1398,"BatiBot",V401:V1398,"Ida")),"Sin Datos")</f>
        <v>Sin Datos</v>
      </c>
      <c r="AE406" s="27" t="str">
        <f>IFERROR((COUNTIFS(U401:U1398,"BatiBot",V401:V1398,"Vuelta",X401:X1398,"Ganado"))/(COUNTIFS(U401:U1398,"BatiBot",V401:V1398,"Vuelta")),"Sin Datos")</f>
        <v>Sin Datos</v>
      </c>
      <c r="AF406" s="27" t="str">
        <f>IFERROR((COUNTIFS(U401:U1398,"BatiBot",W401:W1398,"Long",X401:X1398,"Ganado"))/(COUNTIFS(U401:U1398,"BatiBot",W401:W1398,"Long")),"Sin Datos")</f>
        <v>Sin Datos</v>
      </c>
      <c r="AG406" s="27" t="str">
        <f>IFERROR((COUNTIFS(U401:U1398,"BatiBot",W401:W1398,"Short",X401:X1398,"Ganado"))/(COUNTIFS(U401:U1398,"BatiBot",W401:W1398,"Short")),"Sin Datos")</f>
        <v>Sin Datos</v>
      </c>
      <c r="AH406" s="4" t="str">
        <f>IFERROR((COUNTIFS(U401:U1398,"BatiBot",X401:X1398,"Ganado"))/(AC406),"Sin Datos")</f>
        <v>Sin Datos</v>
      </c>
    </row>
    <row r="407" spans="18:34" ht="15.75" x14ac:dyDescent="0.25">
      <c r="R407" s="27" t="str">
        <f>IFERROR((COUNTIFS(I401:I1398,"WolfiBot",J401:J1398,"Ida",L401:L1398,"Ganado")+(COUNTIFS(I401:I1398,"WolfiBot",J401:J1398,"Ida",L401:L1398,"Break Even")))/(COUNTIFS(I401:I1398,"WolfiBot",J401:J1398,"Ida")),"Sin Datos")</f>
        <v>Sin Datos</v>
      </c>
      <c r="S407" s="27" t="str">
        <f>IFERROR((COUNTIFS(I401:I1398,"WolfiBot",J401:J1398,"Vuelta",L401:L1398,"Ganado")+(COUNTIFS(I401:I1398,"WolfiBot",J401:J1398,"Vuelta",L401:L1398,"Break Even")))/(COUNTIFS(I401:I1398,"WolfiBot",J401:J1398,"Vuelta")),"Sin Datos")</f>
        <v>Sin Datos</v>
      </c>
      <c r="T407" s="27" t="str">
        <f>IFERROR((COUNTIFS(I401:I1398,"WolfiBot",K401:K1398,"Long",L401:L1398,"Ganado")+(COUNTIFS(I401:I1398,"WolfiBot",K401:K1398,"Long",L401:L1398,"Break Even")))/(COUNTIFS(I401:I1398,"WolfiBot",K401:K1398,"Long")),"Sin Datos")</f>
        <v>Sin Datos</v>
      </c>
      <c r="U407" s="27" t="str">
        <f>IFERROR((COUNTIFS(I401:I1398,"WolfiBot",K401:K1398,"Short",L401:L1398,"Ganado")+(COUNTIFS(I401:I1398,"WolfiBot",K401:K1398,"Short",L401:L1398,"Break Even")))/(COUNTIFS(I401:I1398,"WolfiBot",K401:K1398,"Short")),"Sin Datos")</f>
        <v>Sin Datos</v>
      </c>
      <c r="V407" s="4" t="str">
        <f>IFERROR((COUNTIFS(I401:I1398,"WolfiBot",L401:L1398,"Ganado")+(COUNTIFS(I401:I1398,"WolfiBot",L401:L1398,"Break Even")))/(Q407),"Sin Datos")</f>
        <v>Sin Datos</v>
      </c>
      <c r="X407" s="27" t="str">
        <f>IFERROR((COUNTIFS(O401:O1398,"WolfiBot",P401:P1398,"Ida",R401:R1398,"Ganado"))/(COUNTIFS(O401:O1398,"WolfiBot",P401:P1398,"Ida")-(COUNTIFS(O401:O1398,"WolfiBot",P401:P1398,"Ida",R401:R1398,"Break Even"))),"Sin Datos")</f>
        <v>Sin Datos</v>
      </c>
      <c r="Y407" s="27" t="str">
        <f>IFERROR((COUNTIFS(O401:O1398,"WolfiBot",P401:P1398,"Vuelta",R401:R1398,"Ganado"))/(COUNTIFS(O401:O1398,"WolfiBot",P401:P1398,"Vuelta")-(COUNTIFS(O401:O1398,"WolfiBot",P401:P1398,"Vuelta",R401:R1398,"Break Even"))),"Sin Datos")</f>
        <v>Sin Datos</v>
      </c>
      <c r="Z407" s="27" t="str">
        <f>IFERROR((COUNTIFS(O401:O1398,"WolfiBot",Q401:Q1398,"Long",R401:R1398,"Ganado"))/(COUNTIFS(O401:O1398,"WolfiBot",Q401:Q1398,"Long")-(COUNTIFS(O401:O1398,"WolfiBot",Q401:Q1398,"Long",R401:R1398,"Break Even"))),"Sin Datos")</f>
        <v>Sin Datos</v>
      </c>
      <c r="AA407" s="27" t="str">
        <f>IFERROR((COUNTIFS(O401:O1398,"WolfiBot",Q401:Q1398,"Short",R401:R1398,"Ganado"))/(COUNTIFS(O401:O1398,"WolfiBot",Q401:Q1398,"Short")-(COUNTIFS(O401:O1398,"WolfiBot",Q401:Q1398,"Short",R401:R1398,"Break Even"))),"Sin Datos")</f>
        <v>Sin Datos</v>
      </c>
      <c r="AB407" s="4" t="str">
        <f>IFERROR((COUNTIFS(O401:O1398,"WolfiBot",R401:R1398,"Ganado"))/((W407)-(COUNTIFS(O401:O1398,"WolfiBot",R401:R1398,"Break Even"))),"Sin Datos")</f>
        <v>Sin Datos</v>
      </c>
      <c r="AD407" s="27" t="str">
        <f>IFERROR((COUNTIFS(U401:U1398,"WolfiBot",V401:V1398,"Ida",X401:X1398,"Ganado"))/(COUNTIFS(U401:U1398,"WolfiBot",V401:V1398,"Ida")),"Sin Datos")</f>
        <v>Sin Datos</v>
      </c>
      <c r="AE407" s="27" t="str">
        <f>IFERROR((COUNTIFS(U401:U1398,"WolfiBot",V401:V1398,"Vuelta",X401:X1398,"Ganado"))/(COUNTIFS(U401:U1398,"WolfiBot",V401:V1398,"Vuelta")),"Sin Datos")</f>
        <v>Sin Datos</v>
      </c>
      <c r="AF407" s="27" t="str">
        <f>IFERROR((COUNTIFS(U401:U1398,"WolfiBot",W401:W1398,"Long",X401:X1398,"Ganado"))/(COUNTIFS(U401:U1398,"WolfiBot",W401:W1398,"Long")),"Sin Datos")</f>
        <v>Sin Datos</v>
      </c>
      <c r="AG407" s="27" t="str">
        <f>IFERROR((COUNTIFS(U401:U1398,"WolfiBot",W401:W1398,"Short",X401:X1398,"Ganado"))/(COUNTIFS(U401:U1398,"WolfiBot",W401:W1398,"Short")),"Sin Datos")</f>
        <v>Sin Datos</v>
      </c>
      <c r="AH407" s="4" t="str">
        <f>IFERROR((COUNTIFS(U401:U1398,"WolfiBot",X401:X1398,"Ganado"))/(AC407),"Sin Datos")</f>
        <v>Sin Datos</v>
      </c>
    </row>
    <row r="408" spans="18:34" ht="15.75" x14ac:dyDescent="0.25">
      <c r="R408" s="27" t="str">
        <f>IFERROR((COUNTIFS(I401:I1398,"CondorBot",J401:J1398,"Ida",L401:L1398,"Ganado")+(COUNTIFS(I401:I1398,"CondorBot",J401:J1398,"Ida",L401:L1398,"Break Even")))/(COUNTIFS(I401:I1398,"CondorBot",J401:J1398,"Ida")),"Sin Datos")</f>
        <v>Sin Datos</v>
      </c>
      <c r="S408" s="27" t="str">
        <f>IFERROR((COUNTIFS(I401:I1398,"CondorBot",J401:J1398,"Vuelta",L401:L1398,"Ganado")+(COUNTIFS(I401:I1398,"CondorBot",J401:J1398,"Vuelta",L401:L1398,"Break Even")))/(COUNTIFS(I401:I1398,"CondorBot",J401:J1398,"Vuelta")),"Sin Datos")</f>
        <v>Sin Datos</v>
      </c>
      <c r="T408" s="27" t="str">
        <f>IFERROR((COUNTIFS(I401:I1398,"CondorBot",K401:K1398,"Long",L401:L1398,"Ganado")+(COUNTIFS(I401:I1398,"CondorBot",K401:K1398,"Long",L401:L1398,"Break Even")))/(COUNTIFS(I401:I1398,"CondorBot",K401:K1398,"Long")),"Sin Datos")</f>
        <v>Sin Datos</v>
      </c>
      <c r="U408" s="27" t="str">
        <f>IFERROR((COUNTIFS(I401:I1398,"CondorBot",K401:K1398,"Short",L401:L1398,"Ganado")+(COUNTIFS(I401:I1398,"CondorBot",K401:K1398,"Short",L401:L1398,"Break Even")))/(COUNTIFS(I401:I1398,"CondorBot",K401:K1398,"Short")),"Sin Datos")</f>
        <v>Sin Datos</v>
      </c>
      <c r="V408" s="4" t="str">
        <f>IFERROR((COUNTIFS(I401:I1398,"CondorBot",L401:L1398,"Ganado")+(COUNTIFS(I401:I1398,"CondorBot",L401:L1398,"Break Even")))/(Q408),"Sin Datos")</f>
        <v>Sin Datos</v>
      </c>
      <c r="X408" s="27" t="str">
        <f>IFERROR((COUNTIFS(O401:O1398,"CondorBot",P401:P1398,"Ida",R401:R1398,"Ganado"))/(COUNTIFS(O401:O1398,"CondorBot",P401:P1398,"Ida")-(COUNTIFS(O401:O1398,"CondorBot",P401:P1398,"Ida",R401:R1398,"Break Even"))),"Sin Datos")</f>
        <v>Sin Datos</v>
      </c>
      <c r="Y408" s="27" t="str">
        <f>IFERROR((COUNTIFS(O401:O1398,"CondorBot",P401:P1398,"Vuelta",R401:R1398,"Ganado"))/(COUNTIFS(O401:O1398,"CondorBot",P401:P1398,"Vuelta")-(COUNTIFS(O401:O1398,"CondorBot",P401:P1398,"Vuelta",R401:R1398,"Break Even"))),"Sin Datos")</f>
        <v>Sin Datos</v>
      </c>
      <c r="Z408" s="27" t="str">
        <f>IFERROR((COUNTIFS(O401:O1398,"CondorBot",Q401:Q1398,"Long",R401:R1398,"Ganado"))/(COUNTIFS(O401:O1398,"CondorBot",Q401:Q1398,"Long")-(COUNTIFS(O401:O1398,"CondorBot",Q401:Q1398,"Long",R401:R1398,"Break Even"))),"Sin Datos")</f>
        <v>Sin Datos</v>
      </c>
      <c r="AA408" s="27" t="str">
        <f>IFERROR((COUNTIFS(O401:O1398,"CondorBot",Q401:Q1398,"Short",R401:R1398,"Ganado"))/(COUNTIFS(O401:O1398,"CondorBot",Q401:Q1398,"Short")-(COUNTIFS(O401:O1398,"CondorBot",Q401:Q1398,"Short",R401:R1398,"Break Even"))),"Sin Datos")</f>
        <v>Sin Datos</v>
      </c>
      <c r="AB408" s="4" t="str">
        <f>IFERROR((COUNTIFS(O401:O1398,"CondorBot",R401:R1398,"Ganado"))/((W408)-(COUNTIFS(O401:O1398,"CondorBot",R401:R1398,"Break Even"))),"Sin Datos")</f>
        <v>Sin Datos</v>
      </c>
      <c r="AD408" s="27" t="str">
        <f>IFERROR((COUNTIFS(U401:U1398,"CondorBot",V401:V1398,"Ida",X401:X1398,"Ganado"))/(COUNTIFS(U401:U1398,"CondorBot",V401:V1398,"Ida")),"Sin Datos")</f>
        <v>Sin Datos</v>
      </c>
      <c r="AE408" s="27" t="str">
        <f>IFERROR((COUNTIFS(U401:U1398,"CondorBot",V401:V1398,"Vuelta",X401:X1398,"Ganado"))/(COUNTIFS(U401:U1398,"CondorBot",V401:V1398,"Vuelta")),"Sin Datos")</f>
        <v>Sin Datos</v>
      </c>
      <c r="AF408" s="27" t="str">
        <f>IFERROR((COUNTIFS(U401:U1398,"CondorBot",W401:W1398,"Long",X401:X1398,"Ganado"))/(COUNTIFS(U401:U1398,"CondorBot",W401:W1398,"Long")),"Sin Datos")</f>
        <v>Sin Datos</v>
      </c>
      <c r="AG408" s="27" t="str">
        <f>IFERROR((COUNTIFS(U401:U1398,"CondorBot",W401:W1398,"Short",X401:X1398,"Ganado"))/(COUNTIFS(U401:U1398,"CondorBot",W401:W1398,"Short")),"Sin Datos")</f>
        <v>Sin Datos</v>
      </c>
      <c r="AH408" s="4" t="str">
        <f>IFERROR((COUNTIFS(U401:U1398,"CondorBot",X401:X1398,"Ganado"))/(AC408),"Sin Datos")</f>
        <v>Sin Datos</v>
      </c>
    </row>
    <row r="409" spans="18:34" ht="15.75" x14ac:dyDescent="0.25">
      <c r="R409" s="27" t="str">
        <f>IFERROR((COUNTIFS(I401:I1398,"Otras",J401:J1398,"Ida",L401:L1398,"Ganado")+(COUNTIFS(I401:I1398,"Otras",J401:J1398,"Ida",L401:L1398,"Break Even")))/(COUNTIFS(I401:I1398,"Otras",J401:J1398,"Ida")),"Sin Datos")</f>
        <v>Sin Datos</v>
      </c>
      <c r="S409" s="27" t="str">
        <f>IFERROR((COUNTIFS(I401:I1398,"Otras",J401:J1398,"Vuelta",L401:L1398,"Ganado")+(COUNTIFS(I401:I1398,"Otras",J401:J1398,"Vuelta",L401:L1398,"Break Even")))/(COUNTIFS(I401:I1398,"Otras",J401:J1398,"Vuelta")),"Sin Datos")</f>
        <v>Sin Datos</v>
      </c>
      <c r="T409" s="27" t="str">
        <f>IFERROR((COUNTIFS(I401:I1398,"Otras",K401:K1398,"Long",L401:L1398,"Ganado")+(COUNTIFS(I401:I1398,"Otras",K401:K1398,"Long",L401:L1398,"Break Even")))/(COUNTIFS(I401:I1398,"Otras",K401:K1398,"Long")),"Sin Datos")</f>
        <v>Sin Datos</v>
      </c>
      <c r="U409" s="27" t="str">
        <f>IFERROR((COUNTIFS(I401:I1398,"Otras",K401:K1398,"Short",L401:L1398,"Ganado")+(COUNTIFS(I401:I1398,"Otras",K401:K1398,"Short",L401:L1398,"Break Even")))/(COUNTIFS(I401:I1398,"Otras",K401:K1398,"Short")),"Sin Datos")</f>
        <v>Sin Datos</v>
      </c>
      <c r="V409" s="4" t="str">
        <f>IFERROR((COUNTIFS(I401:I1398,"Otras",L401:L1398,"Ganado")+(COUNTIFS(I401:I1398,"Otras",L401:L1398,"Break Even")))/(Q409),"Sin Datos")</f>
        <v>Sin Datos</v>
      </c>
      <c r="X409" s="27" t="str">
        <f>IFERROR((COUNTIFS(O401:O1398,"Otras",P401:P1398,"Ida",R401:R1398,"Ganado"))/(COUNTIFS(O401:O1398,"Otras",P401:P1398,"Ida")-(COUNTIFS(O401:O1398,"Otras",P401:P1398,"Ida",R401:R1398,"Break Even"))),"Sin Datos")</f>
        <v>Sin Datos</v>
      </c>
      <c r="Y409" s="27" t="str">
        <f>IFERROR((COUNTIFS(O401:O1398,"Otras",P401:P1398,"Vuelta",R401:R1398,"Ganado"))/(COUNTIFS(O401:O1398,"Otras",P401:P1398,"Vuelta")-(COUNTIFS(O401:O1398,"Otras",P401:P1398,"Vuelta",R401:R1398,"Break Even"))),"Sin Datos")</f>
        <v>Sin Datos</v>
      </c>
      <c r="Z409" s="27" t="str">
        <f>IFERROR((COUNTIFS(O401:O1398,"Otras",Q401:Q1398,"Long",R401:R1398,"Ganado"))/(COUNTIFS(O401:O1398,"Otras",Q401:Q1398,"Long")-(COUNTIFS(O401:O1398,"Otras",Q401:Q1398,"Long",R401:R1398,"Break Even"))),"Sin Datos")</f>
        <v>Sin Datos</v>
      </c>
      <c r="AA409" s="27" t="str">
        <f>IFERROR((COUNTIFS(O401:O1398,"Otras",Q401:Q1398,"Short",R401:R1398,"Ganado"))/(COUNTIFS(O401:O1398,"Otras",Q401:Q1398,"Short")-(COUNTIFS(O401:O1398,"Otras",Q401:Q1398,"Short",R401:R1398,"Break Even"))),"Sin Datos")</f>
        <v>Sin Datos</v>
      </c>
      <c r="AB409" s="4" t="str">
        <f>IFERROR((COUNTIFS(O401:O1398,"Otras",R401:R1398,"Ganado"))/((W409)-(COUNTIFS(O401:O1398,"Otras",R401:R1398,"Break Even"))),"Sin Datos")</f>
        <v>Sin Datos</v>
      </c>
      <c r="AD409" s="27" t="str">
        <f>IFERROR((COUNTIFS(U401:U1398,"Otras",V401:V1398,"Ida",X401:X1398,"Ganado"))/(COUNTIFS(U401:U1398,"Otras",V401:V1398,"Ida")),"Sin Datos")</f>
        <v>Sin Datos</v>
      </c>
      <c r="AE409" s="27" t="str">
        <f>IFERROR((COUNTIFS(U401:U1398,"Otras",V401:V1398,"Vuelta",X401:X1398,"Ganado"))/(COUNTIFS(U401:U1398,"Otras",V401:V1398,"Vuelta")),"Sin Datos")</f>
        <v>Sin Datos</v>
      </c>
      <c r="AF409" s="27" t="str">
        <f>IFERROR((COUNTIFS(U401:U1398,"Otras",W401:W1398,"Long",X401:X1398,"Ganado"))/(COUNTIFS(U401:U1398,"Otras",W401:W1398,"Long")),"Sin Datos")</f>
        <v>Sin Datos</v>
      </c>
      <c r="AG409" s="27" t="str">
        <f>IFERROR((COUNTIFS(U401:U1398,"Otras",W401:W1398,"Short",X401:X1398,"Ganado"))/(COUNTIFS(U401:U1398,"Otras",W401:W1398,"Short")),"Sin Datos")</f>
        <v>Sin Datos</v>
      </c>
      <c r="AH409" s="4" t="str">
        <f>IFERROR((COUNTIFS(U401:U1398,"Otras",X401:X1398,"Ganado"))/(AC409),"Sin Datos")</f>
        <v>Sin Datos</v>
      </c>
    </row>
    <row r="410" spans="18:34" ht="18.75" x14ac:dyDescent="0.25">
      <c r="R410" s="29" t="str">
        <f>IFERROR((COUNTIFS(J401:J1398,"Ida",L401:L1398,"Ganado")+(COUNTIFS(J401:J1398,"Ida",L401:L1398,"Break Even")))/(COUNTIFS(J401:J1398,"Ida")),"Sin Datos")</f>
        <v>Sin Datos</v>
      </c>
      <c r="S410" s="29" t="str">
        <f>IFERROR((COUNTIFS(J401:J1398,"Vuelta",L401:L1398,"Ganado")+(COUNTIFS(J401:J1398,"Vuelta",L401:L1398,"Break Even")))/(COUNTIFS(J401:J1398,"Vuelta")),"Sin Datos")</f>
        <v>Sin Datos</v>
      </c>
      <c r="T410" s="29" t="str">
        <f>IFERROR((COUNTIFS(K401:K1398,"Long",L401:L1398,"Ganado")+(COUNTIFS(K401:K1398,"Long",L401:L1398,"Break Even")))/(COUNTIFS(K401:K1398,"Long")),"Sin Datos")</f>
        <v>Sin Datos</v>
      </c>
      <c r="U410" s="29" t="str">
        <f>IFERROR((COUNTIFS(K401:K1398,"Short",L401:L1398,"Ganado")+(COUNTIFS(K401:K1398,"Short",L401:L1398,"Break Even")))/(COUNTIFS(K401:K1398,"Short")),"Sin Datos")</f>
        <v>Sin Datos</v>
      </c>
      <c r="V410" s="29" t="str">
        <f>IFERROR((COUNTIF(L401:L1398,"Ganado")+(COUNTIF(L401:L1398,"Break Even")))/(Q410),"Sin Datos")</f>
        <v>Sin Datos</v>
      </c>
      <c r="X410" s="29" t="str">
        <f>IFERROR((COUNTIFS(P401:P1398,"Ida",R401:R1398,"Ganado"))/(COUNTIFS(P401:P1398,"Ida")-(COUNTIFS(P401:P1398,"Ida",R401:R1398,"Break Even"))),"Sin Datos")</f>
        <v>Sin Datos</v>
      </c>
      <c r="Y410" s="29" t="str">
        <f>IFERROR((COUNTIFS(P401:P1398,"Vuelta",R401:R1398,"Ganado"))/(COUNTIFS(P401:P1398,"Vuelta")-(COUNTIFS(P401:P1398,"Vuelta",R401:R1398,"Break Even"))),"Sin Datos")</f>
        <v>Sin Datos</v>
      </c>
      <c r="Z410" s="29" t="str">
        <f>IFERROR((COUNTIFS(Q401:Q1398,"Long",R401:R1398,"Ganado"))/(COUNTIFS(Q401:Q1398,"Long")-(COUNTIFS(Q401:Q1398,"Long",R401:R1398,"Break Even"))),"Sin Datos")</f>
        <v>Sin Datos</v>
      </c>
      <c r="AA410" s="29" t="str">
        <f>IFERROR((COUNTIFS(Q401:Q1398,"Short",R401:R1398,"Ganado"))/(COUNTIFS(Q401:Q1398,"Short")-(COUNTIFS(Q401:Q1398,"Short",R401:R1398,"Break Even"))),"Sin Datos")</f>
        <v>Sin Datos</v>
      </c>
      <c r="AB410" s="29" t="str">
        <f>IFERROR((COUNTIF(R401:R1398,"Ganado"))/((W410)-(COUNTIF(R401:R1398,"Break Even"))),"Sin Datos")</f>
        <v>Sin Datos</v>
      </c>
      <c r="AD410" s="29" t="str">
        <f>IFERROR((COUNTIFS(V401:V1398,"Ida",X401:X1398,"Ganado"))/(COUNTIFS(V401:V1398,"Ida")),"Sin Datos")</f>
        <v>Sin Datos</v>
      </c>
      <c r="AE410" s="29" t="str">
        <f>IFERROR((COUNTIFS(V401:V1398,"Vuelta",X401:X1398,"Ganado"))/(COUNTIFS(V401:V1398,"Vuelta")),"Sin Datos")</f>
        <v>Sin Datos</v>
      </c>
      <c r="AF410" s="29" t="str">
        <f>IFERROR((COUNTIFS(W401:W1398,"Long",X401:X1398,"Ganado"))/(COUNTIFS(W401:W1398,"Long")),"Sin Datos")</f>
        <v>Sin Datos</v>
      </c>
      <c r="AG410" s="29" t="str">
        <f>IFERROR((COUNTIFS(W401:W1398,"Short",X401:X1398,"Ganado"))/(COUNTIFS(W401:W1398,"Short")),"Sin Datos")</f>
        <v>Sin Datos</v>
      </c>
      <c r="AH410" s="29" t="str">
        <f>IFERROR((COUNTIF(X401:X1398,"Ganado"))/(AC410),"Sin Datos")</f>
        <v>Sin Datos</v>
      </c>
    </row>
  </sheetData>
  <mergeCells count="4">
    <mergeCell ref="X397:AB398"/>
    <mergeCell ref="AD397:AH398"/>
    <mergeCell ref="M13:N13"/>
    <mergeCell ref="R397:V398"/>
  </mergeCells>
  <conditionalFormatting sqref="H2:H301">
    <cfRule type="containsText" dxfId="311" priority="455" operator="containsText" text="Short">
      <formula>NOT(ISERROR(SEARCH("Short",H2)))</formula>
    </cfRule>
    <cfRule type="containsText" dxfId="310" priority="456" operator="containsText" text="Long">
      <formula>NOT(ISERROR(SEARCH("Long",H2)))</formula>
    </cfRule>
  </conditionalFormatting>
  <conditionalFormatting sqref="I2:I301">
    <cfRule type="containsText" dxfId="309" priority="450" operator="containsText" text="Break Even">
      <formula>NOT(ISERROR(SEARCH("Break Even",I2)))</formula>
    </cfRule>
    <cfRule type="containsText" dxfId="308" priority="451" operator="containsText" text="Perdido">
      <formula>NOT(ISERROR(SEARCH("Perdido",I2)))</formula>
    </cfRule>
    <cfRule type="containsText" dxfId="307" priority="452" operator="containsText" text="Ganado">
      <formula>NOT(ISERROR(SEARCH("Ganado",I2)))</formula>
    </cfRule>
  </conditionalFormatting>
  <conditionalFormatting sqref="B8">
    <cfRule type="containsText" dxfId="306" priority="239" operator="containsText" text="Baja">
      <formula>NOT(ISERROR(SEARCH("Baja",B8)))</formula>
    </cfRule>
    <cfRule type="containsText" dxfId="305" priority="240" operator="containsText" text="Moderada">
      <formula>NOT(ISERROR(SEARCH("Moderada",B8)))</formula>
    </cfRule>
    <cfRule type="containsText" dxfId="304" priority="241" operator="containsText" text="Alta">
      <formula>NOT(ISERROR(SEARCH("Alta",B8)))</formula>
    </cfRule>
  </conditionalFormatting>
  <conditionalFormatting sqref="B13:B16">
    <cfRule type="cellIs" dxfId="303" priority="55" operator="between">
      <formula>0</formula>
      <formula>0.49</formula>
    </cfRule>
    <cfRule type="cellIs" dxfId="302" priority="56" operator="between">
      <formula>0.5</formula>
      <formula>0.65</formula>
    </cfRule>
    <cfRule type="cellIs" dxfId="301" priority="57" operator="between">
      <formula>0.66</formula>
      <formula>1</formula>
    </cfRule>
  </conditionalFormatting>
  <conditionalFormatting sqref="B17:B20">
    <cfRule type="cellIs" dxfId="300" priority="53" operator="lessThan">
      <formula>0</formula>
    </cfRule>
    <cfRule type="cellIs" dxfId="299" priority="54" operator="greaterThan">
      <formula>0</formula>
    </cfRule>
  </conditionalFormatting>
  <conditionalFormatting sqref="B2:B7">
    <cfRule type="cellIs" dxfId="298" priority="51" operator="lessThan">
      <formula>0</formula>
    </cfRule>
    <cfRule type="cellIs" dxfId="297" priority="52" operator="greaterThan">
      <formula>0</formula>
    </cfRule>
  </conditionalFormatting>
  <conditionalFormatting sqref="X401:AB410">
    <cfRule type="cellIs" dxfId="296" priority="45" operator="between">
      <formula>0.66</formula>
      <formula>1</formula>
    </cfRule>
    <cfRule type="cellIs" dxfId="295" priority="46" operator="between">
      <formula>0.5</formula>
      <formula>0.65</formula>
    </cfRule>
    <cfRule type="cellIs" dxfId="294" priority="47" operator="between">
      <formula>0</formula>
      <formula>0.49</formula>
    </cfRule>
  </conditionalFormatting>
  <conditionalFormatting sqref="R401:V410">
    <cfRule type="cellIs" dxfId="293" priority="42" operator="between">
      <formula>0.66</formula>
      <formula>1</formula>
    </cfRule>
    <cfRule type="cellIs" dxfId="292" priority="43" operator="between">
      <formula>0.5</formula>
      <formula>0.65</formula>
    </cfRule>
    <cfRule type="cellIs" dxfId="291" priority="44" operator="between">
      <formula>0</formula>
      <formula>0.49</formula>
    </cfRule>
  </conditionalFormatting>
  <conditionalFormatting sqref="AD401:AH410">
    <cfRule type="cellIs" dxfId="290" priority="39" operator="between">
      <formula>0.66</formula>
      <formula>1</formula>
    </cfRule>
    <cfRule type="cellIs" dxfId="289" priority="40" operator="between">
      <formula>0.5</formula>
      <formula>0.65</formula>
    </cfRule>
    <cfRule type="cellIs" dxfId="288" priority="41" operator="between">
      <formula>0</formula>
      <formula>0.49</formula>
    </cfRule>
  </conditionalFormatting>
  <conditionalFormatting sqref="J2:K301">
    <cfRule type="cellIs" dxfId="287" priority="28" operator="lessThan">
      <formula>0</formula>
    </cfRule>
    <cfRule type="cellIs" dxfId="286" priority="29" operator="greaterThan">
      <formula>0</formula>
    </cfRule>
  </conditionalFormatting>
  <conditionalFormatting sqref="O2:S11">
    <cfRule type="cellIs" dxfId="7" priority="1" operator="between">
      <formula>0.66</formula>
      <formula>1</formula>
    </cfRule>
    <cfRule type="cellIs" dxfId="6" priority="2" operator="between">
      <formula>0.5</formula>
      <formula>0.65</formula>
    </cfRule>
    <cfRule type="cellIs" dxfId="5" priority="3" operator="between">
      <formula>0</formula>
      <formula>0.49</formula>
    </cfRule>
  </conditionalFormatting>
  <dataValidations count="5">
    <dataValidation type="list" allowBlank="1" showInputMessage="1" showErrorMessage="1" sqref="B8" xr:uid="{00000000-0002-0000-0200-000000000000}">
      <formula1>"Alta,Moderada,Baja"</formula1>
    </dataValidation>
    <dataValidation type="list" allowBlank="1" showInputMessage="1" showErrorMessage="1" sqref="H2:H301" xr:uid="{00000000-0002-0000-0200-000001000000}">
      <formula1>"Long,Short"</formula1>
    </dataValidation>
    <dataValidation type="list" allowBlank="1" showInputMessage="1" showErrorMessage="1" sqref="E2:E301" xr:uid="{00000000-0002-0000-0200-000002000000}">
      <formula1>"1,2,3,4,5,6,7,8,9,10,11,12,13,14,15,16,17,18,19,20,21,22,23,24,25,26,27,28,29,30,31"</formula1>
    </dataValidation>
    <dataValidation type="list" allowBlank="1" showErrorMessage="1" promptTitle="Seleccione" prompt="Seleccione" sqref="G2:G301" xr:uid="{00000000-0002-0000-0200-000003000000}">
      <formula1>"Ida,Vuelta"</formula1>
    </dataValidation>
    <dataValidation type="list" allowBlank="1" showErrorMessage="1" promptTitle="Seleccione" prompt="Seleccione" sqref="F2:F301" xr:uid="{00000000-0002-0000-0200-000004000000}">
      <formula1>$M$2:$M$10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H410"/>
  <sheetViews>
    <sheetView zoomScaleNormal="100" workbookViewId="0">
      <selection activeCell="B1" sqref="B1"/>
    </sheetView>
  </sheetViews>
  <sheetFormatPr defaultColWidth="11.42578125" defaultRowHeight="15" x14ac:dyDescent="0.25"/>
  <cols>
    <col min="1" max="1" width="35.5703125" style="24" customWidth="1"/>
    <col min="2" max="2" width="12.28515625" style="24" bestFit="1" customWidth="1"/>
    <col min="3" max="3" width="4.42578125" style="24" customWidth="1"/>
    <col min="4" max="4" width="9.7109375" style="24" customWidth="1"/>
    <col min="5" max="5" width="9" style="24" customWidth="1"/>
    <col min="6" max="6" width="13" style="24" customWidth="1"/>
    <col min="7" max="7" width="10.7109375" style="24" customWidth="1"/>
    <col min="8" max="8" width="10.5703125" style="24" customWidth="1"/>
    <col min="9" max="9" width="12.5703125" style="24" customWidth="1"/>
    <col min="10" max="11" width="12.140625" style="24" customWidth="1"/>
    <col min="12" max="12" width="5" style="24" customWidth="1"/>
    <col min="13" max="13" width="19.85546875" style="24" customWidth="1"/>
    <col min="14" max="14" width="14.42578125" style="24" customWidth="1"/>
    <col min="15" max="15" width="13.28515625" style="24" customWidth="1"/>
    <col min="16" max="16" width="12" style="24" customWidth="1"/>
    <col min="17" max="17" width="13.42578125" style="24" customWidth="1"/>
    <col min="18" max="18" width="12" style="24" customWidth="1"/>
    <col min="19" max="19" width="18.5703125" style="24" customWidth="1"/>
    <col min="20" max="20" width="12.28515625" style="24" customWidth="1"/>
    <col min="21" max="21" width="12.42578125" style="24" customWidth="1"/>
    <col min="22" max="22" width="20.85546875" style="24" customWidth="1"/>
    <col min="23" max="16384" width="11.42578125" style="24"/>
  </cols>
  <sheetData>
    <row r="1" spans="1:19" ht="36" customHeight="1" x14ac:dyDescent="0.25">
      <c r="A1" s="7" t="s">
        <v>1</v>
      </c>
      <c r="B1" s="8"/>
      <c r="D1" s="13" t="s">
        <v>15</v>
      </c>
      <c r="E1" s="13" t="s">
        <v>13</v>
      </c>
      <c r="F1" s="13" t="s">
        <v>5</v>
      </c>
      <c r="G1" s="13" t="s">
        <v>21</v>
      </c>
      <c r="H1" s="13" t="s">
        <v>9</v>
      </c>
      <c r="I1" s="13" t="s">
        <v>11</v>
      </c>
      <c r="J1" s="13" t="s">
        <v>14</v>
      </c>
      <c r="K1" s="13" t="s">
        <v>44</v>
      </c>
      <c r="M1" s="25" t="s">
        <v>5</v>
      </c>
      <c r="N1" s="25" t="s">
        <v>3</v>
      </c>
      <c r="O1" s="25" t="s">
        <v>16</v>
      </c>
      <c r="P1" s="25" t="s">
        <v>17</v>
      </c>
      <c r="Q1" s="25" t="s">
        <v>7</v>
      </c>
      <c r="R1" s="25" t="s">
        <v>8</v>
      </c>
      <c r="S1" s="13" t="s">
        <v>0</v>
      </c>
    </row>
    <row r="2" spans="1:19" ht="15.75" x14ac:dyDescent="0.25">
      <c r="A2" s="2" t="s">
        <v>2</v>
      </c>
      <c r="B2" s="3">
        <f>SUM(B1,(SUM(J2:J999)))</f>
        <v>0</v>
      </c>
      <c r="D2" s="2">
        <v>1</v>
      </c>
      <c r="E2" s="6"/>
      <c r="F2" s="2"/>
      <c r="G2" s="2"/>
      <c r="H2" s="2"/>
      <c r="I2" s="2" t="str">
        <f>IF(J2="","",IF(J2&gt;3,"Ganado",IF(J2&lt;-3,"Perdido","Break Even")))</f>
        <v/>
      </c>
      <c r="J2" s="3"/>
      <c r="K2" s="5" t="str">
        <f>IFERROR(Tabla34[[#This Row],[USD]]/$B$1,"")</f>
        <v/>
      </c>
      <c r="M2" s="26" t="s">
        <v>4</v>
      </c>
      <c r="N2" s="26">
        <f>COUNTIFS(F2:F999,"100x")</f>
        <v>0</v>
      </c>
      <c r="O2" s="27" t="str">
        <f>IFERROR((COUNTIFS(F2:F999,"100x",G2:G999,"Ida",I2:I999,"Ganado"))/(COUNTIFS(F2:F999,"100x",G2:G999,"Ida")),"Sin Datos")</f>
        <v>Sin Datos</v>
      </c>
      <c r="P2" s="27" t="str">
        <f>IFERROR((COUNTIFS(F2:F999,"100x",G2:G999,"Vuelta",I2:I999,"Ganado"))/(COUNTIFS(F2:F999,"100x",G2:G999,"Vuelta")),"Sin Datos")</f>
        <v>Sin Datos</v>
      </c>
      <c r="Q2" s="27" t="str">
        <f>IFERROR((COUNTIFS(F2:F999,"100x",H2:H999,"Long",I2:I999,"Ganado"))/(COUNTIFS(F2:F999,"100x",H2:H999,"Long")),"Sin Datos")</f>
        <v>Sin Datos</v>
      </c>
      <c r="R2" s="27" t="str">
        <f>IFERROR((COUNTIFS(F2:F999,"100x",H2:H999,"Short",I2:I999,"Ganado"))/(COUNTIFS(F2:F999,"100x",H2:H999,"Short")),"Sin Datos")</f>
        <v>Sin Datos</v>
      </c>
      <c r="S2" s="4" t="str">
        <f>IFERROR((COUNTIFS(F2:F999,"100x",I2:I999,"Ganado"))/(N2),"Sin Datos")</f>
        <v>Sin Datos</v>
      </c>
    </row>
    <row r="3" spans="1:19" ht="15.75" x14ac:dyDescent="0.25">
      <c r="A3" s="2" t="s">
        <v>45</v>
      </c>
      <c r="B3" s="3">
        <f>SUM(J2:J999)</f>
        <v>0</v>
      </c>
      <c r="D3" s="2">
        <v>2</v>
      </c>
      <c r="E3" s="6"/>
      <c r="F3" s="2"/>
      <c r="G3" s="2"/>
      <c r="H3" s="2"/>
      <c r="I3" s="2" t="str">
        <f t="shared" ref="I3:I66" si="0">IF(J3="","",IF(J3&gt;3,"Ganado",IF(J3&lt;-3,"Perdido","Break Even")))</f>
        <v/>
      </c>
      <c r="J3" s="3"/>
      <c r="K3" s="5" t="str">
        <f>IFERROR(Tabla34[[#This Row],[USD]]/$B$1,"")</f>
        <v/>
      </c>
      <c r="M3" s="26" t="s">
        <v>22</v>
      </c>
      <c r="N3" s="2">
        <f>COUNTIFS(F2:F999,"50x")</f>
        <v>0</v>
      </c>
      <c r="O3" s="27" t="str">
        <f>IFERROR((COUNTIFS(F2:F999,"50x",G2:G999,"Ida",I2:I999,"Ganado"))/(COUNTIFS(F2:F999,"50x",G2:G999,"Ida")),"Sin Datos")</f>
        <v>Sin Datos</v>
      </c>
      <c r="P3" s="27" t="str">
        <f>IFERROR((COUNTIFS(F2:F999,"50x",G2:G999,"Vuelta",I2:I999,"Ganado"))/(COUNTIFS(F2:F999,"50x",G2:G999,"Vuelta")),"Sin Datos")</f>
        <v>Sin Datos</v>
      </c>
      <c r="Q3" s="27" t="str">
        <f>IFERROR((COUNTIFS(F2:F999,"50x",H2:H999,"Long",I2:I999,"Ganado"))/(COUNTIFS(F2:F999,"50x",H2:H999,"Long")),"Sin Datos")</f>
        <v>Sin Datos</v>
      </c>
      <c r="R3" s="27" t="str">
        <f>IFERROR((COUNTIFS(F2:F999,"50x",H2:H999,"Short",I2:I999,"Ganado"))/(COUNTIFS(F2:F999,"50x",H2:H999,"Short")),"Sin Datos")</f>
        <v>Sin Datos</v>
      </c>
      <c r="S3" s="4" t="str">
        <f>IFERROR((COUNTIFS(F2:F999,"50x",I2:I999,"Ganado"))/(N3),"Sin Datos")</f>
        <v>Sin Datos</v>
      </c>
    </row>
    <row r="4" spans="1:19" ht="15.75" x14ac:dyDescent="0.25">
      <c r="A4" s="2" t="s">
        <v>43</v>
      </c>
      <c r="B4" s="3">
        <f>SUM(SUMIFS(J2:J999,F2:F999,"100x"),SUMIFS(J2:J999,F2:F999,"50x"),SUMIFS(J2:J999,F2:F999,"25x"),SUMIFS(J2:J999,F2:F999,"10x"),SUMIFS(J2:J999,F2:F999,"5x"))</f>
        <v>0</v>
      </c>
      <c r="D4" s="2">
        <v>3</v>
      </c>
      <c r="E4" s="6"/>
      <c r="F4" s="2"/>
      <c r="G4" s="2"/>
      <c r="H4" s="2"/>
      <c r="I4" s="2" t="str">
        <f t="shared" si="0"/>
        <v/>
      </c>
      <c r="J4" s="3"/>
      <c r="K4" s="5" t="str">
        <f>IFERROR(Tabla34[[#This Row],[USD]]/$B$1,"")</f>
        <v/>
      </c>
      <c r="M4" s="26" t="s">
        <v>23</v>
      </c>
      <c r="N4" s="26">
        <f>COUNTIFS(F2:F999,"25x")</f>
        <v>0</v>
      </c>
      <c r="O4" s="27" t="str">
        <f>IFERROR((COUNTIFS(F2:F999,"25x",G2:G999,"Ida",I2:I999,"Ganado"))/(COUNTIFS(F2:F999,"25x",G2:G999,"Ida")),"Sin Datos")</f>
        <v>Sin Datos</v>
      </c>
      <c r="P4" s="27" t="str">
        <f>IFERROR((COUNTIFS(F2:F999,"25x",G2:G999,"Vuelta",I2:I999,"Ganado"))/(COUNTIFS(F2:F999,"25x",G2:G999,"Vuelta")),"Sin Datos")</f>
        <v>Sin Datos</v>
      </c>
      <c r="Q4" s="27" t="str">
        <f>IFERROR((COUNTIFS(F2:F999,"25x",H2:H999,"Long",I2:I999,"Ganado"))/(COUNTIFS(F2:F999,"25x",H2:H999,"Long")),"Sin Datos")</f>
        <v>Sin Datos</v>
      </c>
      <c r="R4" s="27" t="str">
        <f>IFERROR((COUNTIFS(F2:F999,"25x",H2:H999,"Short",I2:I999,"Ganado"))/(COUNTIFS(F2:F999,"25x",H2:H999,"Short")),"Sin Datos")</f>
        <v>Sin Datos</v>
      </c>
      <c r="S4" s="4" t="str">
        <f>IFERROR((COUNTIFS(F2:F999,"25x",I2:I999,"Ganado"))/(N4),"Sin Datos")</f>
        <v>Sin Datos</v>
      </c>
    </row>
    <row r="5" spans="1:19" ht="15.75" x14ac:dyDescent="0.25">
      <c r="A5" s="2" t="s">
        <v>42</v>
      </c>
      <c r="B5" s="3">
        <f>SUM(SUMIFS(J2:J999,F2:F999,"BatiBot"),SUMIFS(J2:J999,F2:F999,"WolfiBot"),SUMIFS(J2:J999,F2:F999,"CondorBot"))</f>
        <v>0</v>
      </c>
      <c r="D5" s="2">
        <v>4</v>
      </c>
      <c r="E5" s="6"/>
      <c r="F5" s="2"/>
      <c r="G5" s="2"/>
      <c r="H5" s="2"/>
      <c r="I5" s="2" t="str">
        <f t="shared" si="0"/>
        <v/>
      </c>
      <c r="J5" s="3"/>
      <c r="K5" s="5" t="str">
        <f>IFERROR(Tabla34[[#This Row],[USD]]/$B$1,"")</f>
        <v/>
      </c>
      <c r="M5" s="2" t="s">
        <v>24</v>
      </c>
      <c r="N5" s="2">
        <f>COUNTIFS(F2:F999,"10x")</f>
        <v>0</v>
      </c>
      <c r="O5" s="27" t="str">
        <f>IFERROR((COUNTIFS(F2:F999,"10x",G2:G999,"Ida",I2:I999,"Ganado"))/(COUNTIFS(F2:F999,"10x",G2:G999,"Ida")),"Sin Datos")</f>
        <v>Sin Datos</v>
      </c>
      <c r="P5" s="27" t="str">
        <f>IFERROR((COUNTIFS(F2:F999,"10x",G2:G999,"Vuelta",I2:I999,"Ganado"))/(COUNTIFS(F2:F999,"10x",G2:G999,"Vuelta")),"Sin Datos")</f>
        <v>Sin Datos</v>
      </c>
      <c r="Q5" s="27" t="str">
        <f>IFERROR((COUNTIFS(F2:F999,"10x",H2:H999,"Long",I2:I999,"Ganado"))/(COUNTIFS(F2:F999,"10x",H2:H999,"Long")),"Sin Datos")</f>
        <v>Sin Datos</v>
      </c>
      <c r="R5" s="27" t="str">
        <f>IFERROR((COUNTIFS(F2:F999,"10x",H2:H999,"Short",I2:I999,"Ganado"))/(COUNTIFS(F2:F999,"10x",H2:H999,"Short")),"Sin Datos")</f>
        <v>Sin Datos</v>
      </c>
      <c r="S5" s="4" t="str">
        <f>IFERROR((COUNTIFS(F2:F999,"10x",I2:I999,"Ganado"))/(N5),"Sin Datos")</f>
        <v>Sin Datos</v>
      </c>
    </row>
    <row r="6" spans="1:19" ht="15.75" x14ac:dyDescent="0.25">
      <c r="A6" s="2" t="s">
        <v>41</v>
      </c>
      <c r="B6" s="3">
        <f>SUMIFS(J2:J999,F2:F999,"Otras")</f>
        <v>0</v>
      </c>
      <c r="D6" s="2">
        <v>5</v>
      </c>
      <c r="E6" s="6"/>
      <c r="F6" s="2"/>
      <c r="G6" s="2"/>
      <c r="H6" s="2"/>
      <c r="I6" s="2" t="str">
        <f t="shared" si="0"/>
        <v/>
      </c>
      <c r="J6" s="3"/>
      <c r="K6" s="5" t="str">
        <f>IFERROR(Tabla34[[#This Row],[USD]]/$B$1,"")</f>
        <v/>
      </c>
      <c r="M6" s="2" t="s">
        <v>33</v>
      </c>
      <c r="N6" s="6">
        <f>COUNTIFS(F2:F999,"5x")</f>
        <v>0</v>
      </c>
      <c r="O6" s="27" t="str">
        <f>IFERROR((COUNTIFS(F2:F999,"5x",G2:G999,"Ida",I2:I999,"Ganado"))/(COUNTIFS(F2:F999,"5x",G2:G999,"Ida")),"Sin Datos")</f>
        <v>Sin Datos</v>
      </c>
      <c r="P6" s="27" t="str">
        <f>IFERROR((COUNTIFS(F2:F999,"5x",G2:G999,"Vuelta",I2:I999,"Ganado"))/(COUNTIFS(F2:F999,"5x",G2:G999,"Vuelta")),"Sin Datos")</f>
        <v>Sin Datos</v>
      </c>
      <c r="Q6" s="27" t="str">
        <f>IFERROR((COUNTIFS(F2:F999,"5x",H2:H999,"Long",I2:I999,"Ganado"))/(COUNTIFS(F2:F999,"5x",H2:H999,"Long")),"Sin Datos")</f>
        <v>Sin Datos</v>
      </c>
      <c r="R6" s="27" t="str">
        <f>IFERROR((COUNTIFS(F2:F999,"5x",H2:H999,"Short",I2:I999,"Ganado"))/(COUNTIFS(F2:F999,"5x",H2:H999,"Short")),"Sin Datos")</f>
        <v>Sin Datos</v>
      </c>
      <c r="S6" s="4" t="str">
        <f>IFERROR((COUNTIFS(F2:F999,"5x",I2:I999,"Ganado"))/(N6),"Sin Datos")</f>
        <v>Sin Datos</v>
      </c>
    </row>
    <row r="7" spans="1:19" ht="15.75" x14ac:dyDescent="0.25">
      <c r="A7" s="2" t="s">
        <v>40</v>
      </c>
      <c r="B7" s="3">
        <f>IFERROR((B3/SUM(IF(FREQUENCY(E2:E999,E2:E999),1))),0)</f>
        <v>0</v>
      </c>
      <c r="D7" s="2">
        <v>6</v>
      </c>
      <c r="E7" s="6"/>
      <c r="F7" s="2"/>
      <c r="G7" s="2"/>
      <c r="H7" s="2"/>
      <c r="I7" s="2" t="str">
        <f t="shared" si="0"/>
        <v/>
      </c>
      <c r="J7" s="3"/>
      <c r="K7" s="5" t="str">
        <f>IFERROR(Tabla34[[#This Row],[USD]]/$B$1,"")</f>
        <v/>
      </c>
      <c r="M7" s="26" t="s">
        <v>19</v>
      </c>
      <c r="N7" s="26">
        <f>COUNTIFS(F2:F999,"BatiBot")</f>
        <v>0</v>
      </c>
      <c r="O7" s="27" t="str">
        <f>IFERROR((COUNTIFS(F2:F999,"BatiBot",G2:G999,"Ida",I2:I999,"Ganado"))/(COUNTIFS(F2:F999,"BatiBot",G2:G999,"Ida")),"Sin Datos")</f>
        <v>Sin Datos</v>
      </c>
      <c r="P7" s="27" t="str">
        <f>IFERROR((COUNTIFS(F2:F999,"BatiBot",G2:G999,"Vuelta",I2:I999,"Ganado"))/(COUNTIFS(F2:F999,"BatiBot",G2:G999,"Vuelta")),"Sin Datos")</f>
        <v>Sin Datos</v>
      </c>
      <c r="Q7" s="27" t="str">
        <f>IFERROR((COUNTIFS(F2:F999,"BatiBot",H2:H999,"Long",I2:I999,"Ganado"))/(COUNTIFS(F2:F999,"BatiBot",H2:H999,"Long")),"Sin Datos")</f>
        <v>Sin Datos</v>
      </c>
      <c r="R7" s="27" t="str">
        <f>IFERROR((COUNTIFS(F2:F999,"BatiBot",H2:H999,"Short",I2:I999,"Ganado"))/(COUNTIFS(F2:F999,"BatiBot",H2:H999,"Short")),"Sin Datos")</f>
        <v>Sin Datos</v>
      </c>
      <c r="S7" s="4" t="str">
        <f>IFERROR((COUNTIFS(F2:F999,"BatiBot",I2:I999,"Ganado"))/(N7),"Sin Datos")</f>
        <v>Sin Datos</v>
      </c>
    </row>
    <row r="8" spans="1:19" ht="15.75" x14ac:dyDescent="0.25">
      <c r="A8" s="2" t="s">
        <v>20</v>
      </c>
      <c r="B8" s="2"/>
      <c r="D8" s="2">
        <v>7</v>
      </c>
      <c r="E8" s="6"/>
      <c r="F8" s="2"/>
      <c r="G8" s="2"/>
      <c r="H8" s="2"/>
      <c r="I8" s="2" t="str">
        <f t="shared" si="0"/>
        <v/>
      </c>
      <c r="J8" s="3"/>
      <c r="K8" s="5" t="str">
        <f>IFERROR(Tabla34[[#This Row],[USD]]/$B$1,"")</f>
        <v/>
      </c>
      <c r="M8" s="2" t="s">
        <v>18</v>
      </c>
      <c r="N8" s="2">
        <f>COUNTIFS(F2:F999,"WolfiBot")</f>
        <v>0</v>
      </c>
      <c r="O8" s="27" t="str">
        <f>IFERROR((COUNTIFS(F2:F999,"WolfiBot",G2:G999,"Ida",I2:I999,"Ganado"))/(COUNTIFS(F2:F999,"WolfiBot",G2:G999,"Ida")),"Sin Datos")</f>
        <v>Sin Datos</v>
      </c>
      <c r="P8" s="27" t="str">
        <f>IFERROR((COUNTIFS(F2:F999,"WolfiBot",G2:G999,"Vuelta",I2:I999,"Ganado"))/(COUNTIFS(F2:F999,"WolfiBot",G2:G999,"Vuelta")),"Sin Datos")</f>
        <v>Sin Datos</v>
      </c>
      <c r="Q8" s="27" t="str">
        <f>IFERROR((COUNTIFS(F2:F999,"WolfiBot",H2:H999,"Long",I2:I999,"Ganado"))/(COUNTIFS(F2:F999,"WolfiBot",H2:H999,"Long")),"Sin Datos")</f>
        <v>Sin Datos</v>
      </c>
      <c r="R8" s="27" t="str">
        <f>IFERROR((COUNTIFS(F2:F999,"WolfiBot",H2:H999,"Short",I2:I999,"Ganado"))/(COUNTIFS(F2:F999,"WolfiBot",H2:H999,"Short")),"Sin Datos")</f>
        <v>Sin Datos</v>
      </c>
      <c r="S8" s="4" t="str">
        <f>IFERROR((COUNTIFS(F2:F999,"WolfiBot",I2:I999,"Ganado"))/(N8),"Sin Datos")</f>
        <v>Sin Datos</v>
      </c>
    </row>
    <row r="9" spans="1:19" ht="15.75" x14ac:dyDescent="0.25">
      <c r="A9" s="2" t="s">
        <v>12</v>
      </c>
      <c r="B9" s="2">
        <f>N11</f>
        <v>0</v>
      </c>
      <c r="D9" s="2">
        <v>8</v>
      </c>
      <c r="E9" s="6"/>
      <c r="F9" s="2"/>
      <c r="G9" s="2"/>
      <c r="H9" s="2"/>
      <c r="I9" s="2" t="str">
        <f t="shared" si="0"/>
        <v/>
      </c>
      <c r="J9" s="3"/>
      <c r="K9" s="5" t="str">
        <f>IFERROR(Tabla34[[#This Row],[USD]]/$B$1,"")</f>
        <v/>
      </c>
      <c r="M9" s="26" t="s">
        <v>25</v>
      </c>
      <c r="N9" s="2">
        <f>COUNTIFS(F2:F999,"CondorBot")</f>
        <v>0</v>
      </c>
      <c r="O9" s="27" t="str">
        <f>IFERROR((COUNTIFS(F2:F999,"CondorBot",G2:G999,"Ida",I2:I999,"Ganado"))/(COUNTIFS(F2:F999,"CondorBot",G2:G999,"Ida")),"Sin Datos")</f>
        <v>Sin Datos</v>
      </c>
      <c r="P9" s="27" t="str">
        <f>IFERROR((COUNTIFS(F2:F999,"CondorBot",G2:G999,"Vuelta",I2:I999,"Ganado"))/(COUNTIFS(F2:F999,"CondorBot",G2:G999,"Vuelta")),"Sin Datos")</f>
        <v>Sin Datos</v>
      </c>
      <c r="Q9" s="27" t="str">
        <f>IFERROR((COUNTIFS(F2:F999,"CondorBot",H2:H999,"Long",I2:I999,"Ganado"))/(COUNTIFS(F2:F999,"CondorBot",H2:H999,"Long")),"Sin Datos")</f>
        <v>Sin Datos</v>
      </c>
      <c r="R9" s="27" t="str">
        <f>IFERROR((COUNTIFS(F2:F999,"CondorBot",H2:H999,"Short",I2:I999,"Ganado"))/(COUNTIFS(F2:F999,"CondorBot",H2:H999,"Short")),"Sin Datos")</f>
        <v>Sin Datos</v>
      </c>
      <c r="S9" s="4" t="str">
        <f>IFERROR((COUNTIFS(F2:F999,"CondorBot",I2:I999,"Ganado"))/(N9),"Sin Datos")</f>
        <v>Sin Datos</v>
      </c>
    </row>
    <row r="10" spans="1:19" ht="15.75" x14ac:dyDescent="0.25">
      <c r="A10" s="2" t="s">
        <v>31</v>
      </c>
      <c r="B10" s="2">
        <f>SUM(N2:N6)</f>
        <v>0</v>
      </c>
      <c r="D10" s="2">
        <v>9</v>
      </c>
      <c r="E10" s="6"/>
      <c r="F10" s="2"/>
      <c r="G10" s="2"/>
      <c r="H10" s="2"/>
      <c r="I10" s="2" t="str">
        <f t="shared" si="0"/>
        <v/>
      </c>
      <c r="J10" s="3"/>
      <c r="K10" s="5" t="str">
        <f>IFERROR(Tabla34[[#This Row],[USD]]/$B$1,"")</f>
        <v/>
      </c>
      <c r="M10" s="26" t="s">
        <v>34</v>
      </c>
      <c r="N10" s="6">
        <f>COUNTIFS(F2:F999,"Otras")</f>
        <v>0</v>
      </c>
      <c r="O10" s="27" t="str">
        <f>IFERROR((COUNTIFS(F2:F999,"Otras",G2:G999,"Ida",I2:I999,"Ganado"))/(COUNTIFS(F2:F999,"Otras",G2:G999,"Ida")),"Sin Datos")</f>
        <v>Sin Datos</v>
      </c>
      <c r="P10" s="27" t="str">
        <f>IFERROR((COUNTIFS(F2:F999,"Otras",G2:G999,"Vuelta",I2:I999,"Ganado"))/(COUNTIFS(F2:F999,"Otras",G2:G999,"Vuelta")),"Sin Datos")</f>
        <v>Sin Datos</v>
      </c>
      <c r="Q10" s="27" t="str">
        <f>IFERROR((COUNTIFS(F2:F999,"Otras",H2:H999,"Long",I2:I999,"Ganado"))/(COUNTIFS(F2:F999,"Otras",H2:H999,"Long")),"Sin Datos")</f>
        <v>Sin Datos</v>
      </c>
      <c r="R10" s="27" t="str">
        <f>IFERROR((COUNTIFS(F2:F999,"Otras",H2:H999,"Short",I2:I999,"Ganado"))/(COUNTIFS(F2:F999,"Otras",H2:H999,"Short")),"Sin Datos")</f>
        <v>Sin Datos</v>
      </c>
      <c r="S10" s="4" t="str">
        <f>IFERROR((COUNTIFS(F2:F999,"Otras",I2:I999,"Ganado"))/(N10),"Sin Datos")</f>
        <v>Sin Datos</v>
      </c>
    </row>
    <row r="11" spans="1:19" ht="18.75" x14ac:dyDescent="0.25">
      <c r="A11" s="2" t="s">
        <v>32</v>
      </c>
      <c r="B11" s="2">
        <f>SUM(N7:N9)</f>
        <v>0</v>
      </c>
      <c r="D11" s="2">
        <v>10</v>
      </c>
      <c r="E11" s="6"/>
      <c r="F11" s="2"/>
      <c r="G11" s="2"/>
      <c r="H11" s="2"/>
      <c r="I11" s="2" t="str">
        <f t="shared" si="0"/>
        <v/>
      </c>
      <c r="J11" s="3"/>
      <c r="K11" s="5" t="str">
        <f>IFERROR(Tabla34[[#This Row],[USD]]/$B$1,"")</f>
        <v/>
      </c>
      <c r="M11" s="28" t="s">
        <v>6</v>
      </c>
      <c r="N11" s="28">
        <f>COUNT(J2:J999)</f>
        <v>0</v>
      </c>
      <c r="O11" s="29" t="str">
        <f>IFERROR((COUNTIFS(G2:G999,"Ida",I2:I999,"Ganado"))/(COUNTIFS(G2:G999,"Ida")),"Sin Datos")</f>
        <v>Sin Datos</v>
      </c>
      <c r="P11" s="29" t="str">
        <f>IFERROR((COUNTIFS(G2:G999,"Vuelta",I2:I999,"Ganado"))/(COUNTIFS(G2:G999,"Vuelta")),"Sin Datos")</f>
        <v>Sin Datos</v>
      </c>
      <c r="Q11" s="29" t="str">
        <f>IFERROR((COUNTIFS(H2:H999,"Long",I2:I999,"Ganado"))/(COUNTIFS(H2:H999,"Long")),"Sin Datos")</f>
        <v>Sin Datos</v>
      </c>
      <c r="R11" s="29" t="str">
        <f>IFERROR((COUNTIFS(H2:H999,"Short",I2:I999,"Ganado"))/(COUNTIFS(H2:H999,"Short")),"Sin Datos")</f>
        <v>Sin Datos</v>
      </c>
      <c r="S11" s="29" t="str">
        <f>IFERROR((COUNTIF(I2:I999,"Ganado"))/(N11),"Sin Datos")</f>
        <v>Sin Datos</v>
      </c>
    </row>
    <row r="12" spans="1:19" ht="15.75" x14ac:dyDescent="0.25">
      <c r="A12" s="2" t="s">
        <v>36</v>
      </c>
      <c r="B12" s="2">
        <f>N10</f>
        <v>0</v>
      </c>
      <c r="D12" s="2">
        <v>11</v>
      </c>
      <c r="E12" s="6"/>
      <c r="F12" s="2"/>
      <c r="G12" s="2"/>
      <c r="H12" s="2"/>
      <c r="I12" s="2" t="str">
        <f t="shared" si="0"/>
        <v/>
      </c>
      <c r="J12" s="3"/>
      <c r="K12" s="5" t="str">
        <f>IFERROR(Tabla34[[#This Row],[USD]]/$B$1,"")</f>
        <v/>
      </c>
    </row>
    <row r="13" spans="1:19" ht="15.75" x14ac:dyDescent="0.25">
      <c r="A13" s="2" t="s">
        <v>10</v>
      </c>
      <c r="B13" s="4" t="str">
        <f>S11</f>
        <v>Sin Datos</v>
      </c>
      <c r="D13" s="2">
        <v>12</v>
      </c>
      <c r="E13" s="6"/>
      <c r="F13" s="2"/>
      <c r="G13" s="2"/>
      <c r="H13" s="2"/>
      <c r="I13" s="2" t="str">
        <f t="shared" si="0"/>
        <v/>
      </c>
      <c r="J13" s="3"/>
      <c r="K13" s="5" t="str">
        <f>IFERROR(Tabla34[[#This Row],[USD]]/$B$1,"")</f>
        <v/>
      </c>
      <c r="M13" s="85" t="s">
        <v>38</v>
      </c>
      <c r="N13" s="85"/>
      <c r="O13" s="1"/>
      <c r="R13" s="30"/>
    </row>
    <row r="14" spans="1:19" ht="15.75" x14ac:dyDescent="0.25">
      <c r="A14" s="2" t="s">
        <v>29</v>
      </c>
      <c r="B14" s="4" t="str">
        <f>IFERROR(AVERAGE(S2:S6),"Sin Datos")</f>
        <v>Sin Datos</v>
      </c>
      <c r="D14" s="2">
        <v>13</v>
      </c>
      <c r="E14" s="6"/>
      <c r="F14" s="2"/>
      <c r="G14" s="2"/>
      <c r="H14" s="2"/>
      <c r="I14" s="2" t="str">
        <f t="shared" si="0"/>
        <v/>
      </c>
      <c r="J14" s="3"/>
      <c r="K14" s="5" t="str">
        <f>IFERROR(Tabla34[[#This Row],[USD]]/$B$1,"")</f>
        <v/>
      </c>
      <c r="M14" s="2" t="s">
        <v>39</v>
      </c>
      <c r="N14" s="2"/>
      <c r="O14" s="1"/>
    </row>
    <row r="15" spans="1:19" ht="15.75" x14ac:dyDescent="0.25">
      <c r="A15" s="2" t="s">
        <v>30</v>
      </c>
      <c r="B15" s="4" t="str">
        <f>IFERROR(AVERAGE(S7:S9),"Sin Datos")</f>
        <v>Sin Datos</v>
      </c>
      <c r="D15" s="2">
        <v>14</v>
      </c>
      <c r="E15" s="6"/>
      <c r="F15" s="2"/>
      <c r="G15" s="2"/>
      <c r="H15" s="2"/>
      <c r="I15" s="2" t="str">
        <f t="shared" si="0"/>
        <v/>
      </c>
      <c r="J15" s="3"/>
      <c r="K15" s="5" t="str">
        <f>IFERROR(Tabla34[[#This Row],[USD]]/$B$1,"")</f>
        <v/>
      </c>
      <c r="M15" s="2" t="s">
        <v>37</v>
      </c>
      <c r="N15" s="2"/>
      <c r="O15" s="1"/>
    </row>
    <row r="16" spans="1:19" ht="15.75" x14ac:dyDescent="0.25">
      <c r="A16" s="2" t="s">
        <v>35</v>
      </c>
      <c r="B16" s="4" t="str">
        <f>S10</f>
        <v>Sin Datos</v>
      </c>
      <c r="D16" s="2">
        <v>15</v>
      </c>
      <c r="E16" s="6"/>
      <c r="F16" s="2"/>
      <c r="G16" s="2"/>
      <c r="H16" s="2"/>
      <c r="I16" s="2" t="str">
        <f t="shared" si="0"/>
        <v/>
      </c>
      <c r="J16" s="3"/>
      <c r="K16" s="5" t="str">
        <f>IFERROR(Tabla34[[#This Row],[USD]]/$B$1,"")</f>
        <v/>
      </c>
      <c r="M16" s="2" t="s">
        <v>11</v>
      </c>
      <c r="N16" s="2">
        <f>(N15*N14)</f>
        <v>0</v>
      </c>
      <c r="O16" s="1"/>
    </row>
    <row r="17" spans="1:11" ht="15.75" x14ac:dyDescent="0.25">
      <c r="A17" s="2" t="s">
        <v>46</v>
      </c>
      <c r="B17" s="5">
        <f>AVERAGE(SUM(K2:K999))</f>
        <v>0</v>
      </c>
      <c r="D17" s="2">
        <v>16</v>
      </c>
      <c r="E17" s="6"/>
      <c r="F17" s="2"/>
      <c r="G17" s="2"/>
      <c r="H17" s="2"/>
      <c r="I17" s="2" t="str">
        <f t="shared" si="0"/>
        <v/>
      </c>
      <c r="J17" s="3"/>
      <c r="K17" s="5" t="str">
        <f>IFERROR(Tabla34[[#This Row],[USD]]/$B$1,"")</f>
        <v/>
      </c>
    </row>
    <row r="18" spans="1:11" ht="15.75" x14ac:dyDescent="0.25">
      <c r="A18" s="2" t="s">
        <v>47</v>
      </c>
      <c r="B18" s="5">
        <f>SUM(SUMIFS(K2:K999,F2:F999,"100x"),SUMIFS(K2:K999,F2:F999,"50x"),SUMIFS(K2:K999,F2:F999,"25x"),SUMIFS(K2:K999,F2:F999,"10x"),SUMIFS(K2:K999,F2:F999,"5x"))</f>
        <v>0</v>
      </c>
      <c r="D18" s="2">
        <v>17</v>
      </c>
      <c r="E18" s="6"/>
      <c r="F18" s="2"/>
      <c r="G18" s="2"/>
      <c r="H18" s="2"/>
      <c r="I18" s="2" t="str">
        <f t="shared" si="0"/>
        <v/>
      </c>
      <c r="J18" s="3"/>
      <c r="K18" s="5" t="str">
        <f>IFERROR(Tabla34[[#This Row],[USD]]/$B$1,"")</f>
        <v/>
      </c>
    </row>
    <row r="19" spans="1:11" ht="15.75" x14ac:dyDescent="0.25">
      <c r="A19" s="2" t="s">
        <v>48</v>
      </c>
      <c r="B19" s="5">
        <f>SUM(SUMIFS(K2:K999,F2:F999,"BatiBot"),SUMIFS(K2:K999,F2:F999,"WolfiBot"),SUMIFS(K2:K999,F2:F999,"CondorBot"))</f>
        <v>0</v>
      </c>
      <c r="D19" s="2">
        <v>18</v>
      </c>
      <c r="E19" s="6"/>
      <c r="F19" s="2"/>
      <c r="G19" s="2"/>
      <c r="H19" s="2"/>
      <c r="I19" s="2" t="str">
        <f t="shared" si="0"/>
        <v/>
      </c>
      <c r="J19" s="3"/>
      <c r="K19" s="5" t="str">
        <f>IFERROR(Tabla34[[#This Row],[USD]]/$B$1,"")</f>
        <v/>
      </c>
    </row>
    <row r="20" spans="1:11" ht="15.75" x14ac:dyDescent="0.25">
      <c r="A20" s="2" t="s">
        <v>49</v>
      </c>
      <c r="B20" s="5">
        <f>SUMIFS(K2:K999,F2:F999,"Otras")</f>
        <v>0</v>
      </c>
      <c r="D20" s="2">
        <v>19</v>
      </c>
      <c r="E20" s="6"/>
      <c r="F20" s="2"/>
      <c r="G20" s="2"/>
      <c r="H20" s="2"/>
      <c r="I20" s="2" t="str">
        <f t="shared" si="0"/>
        <v/>
      </c>
      <c r="J20" s="3"/>
      <c r="K20" s="5" t="str">
        <f>IFERROR(Tabla34[[#This Row],[USD]]/$B$1,"")</f>
        <v/>
      </c>
    </row>
    <row r="21" spans="1:11" ht="15.75" x14ac:dyDescent="0.25">
      <c r="D21" s="2">
        <v>20</v>
      </c>
      <c r="E21" s="6"/>
      <c r="F21" s="2"/>
      <c r="G21" s="2"/>
      <c r="H21" s="2"/>
      <c r="I21" s="2" t="str">
        <f t="shared" si="0"/>
        <v/>
      </c>
      <c r="J21" s="3"/>
      <c r="K21" s="5" t="str">
        <f>IFERROR(Tabla34[[#This Row],[USD]]/$B$1,"")</f>
        <v/>
      </c>
    </row>
    <row r="22" spans="1:11" ht="15.75" x14ac:dyDescent="0.25">
      <c r="D22" s="2">
        <v>21</v>
      </c>
      <c r="E22" s="6"/>
      <c r="F22" s="2"/>
      <c r="G22" s="2"/>
      <c r="H22" s="2"/>
      <c r="I22" s="2" t="str">
        <f t="shared" si="0"/>
        <v/>
      </c>
      <c r="J22" s="3"/>
      <c r="K22" s="5" t="str">
        <f>IFERROR(Tabla34[[#This Row],[USD]]/$B$1,"")</f>
        <v/>
      </c>
    </row>
    <row r="23" spans="1:11" ht="15.75" x14ac:dyDescent="0.25">
      <c r="D23" s="2">
        <v>22</v>
      </c>
      <c r="E23" s="6"/>
      <c r="F23" s="2"/>
      <c r="G23" s="2"/>
      <c r="H23" s="2"/>
      <c r="I23" s="2" t="str">
        <f t="shared" si="0"/>
        <v/>
      </c>
      <c r="J23" s="3"/>
      <c r="K23" s="5" t="str">
        <f>IFERROR(Tabla34[[#This Row],[USD]]/$B$1,"")</f>
        <v/>
      </c>
    </row>
    <row r="24" spans="1:11" ht="15.75" x14ac:dyDescent="0.25">
      <c r="D24" s="2">
        <v>23</v>
      </c>
      <c r="E24" s="6"/>
      <c r="F24" s="2"/>
      <c r="G24" s="2"/>
      <c r="H24" s="2"/>
      <c r="I24" s="2" t="str">
        <f t="shared" si="0"/>
        <v/>
      </c>
      <c r="J24" s="3"/>
      <c r="K24" s="5" t="str">
        <f>IFERROR(Tabla34[[#This Row],[USD]]/$B$1,"")</f>
        <v/>
      </c>
    </row>
    <row r="25" spans="1:11" ht="15.75" x14ac:dyDescent="0.25">
      <c r="D25" s="2">
        <v>24</v>
      </c>
      <c r="E25" s="6"/>
      <c r="F25" s="2"/>
      <c r="G25" s="2"/>
      <c r="H25" s="2"/>
      <c r="I25" s="2" t="str">
        <f t="shared" si="0"/>
        <v/>
      </c>
      <c r="J25" s="3"/>
      <c r="K25" s="5" t="str">
        <f>IFERROR(Tabla34[[#This Row],[USD]]/$B$1,"")</f>
        <v/>
      </c>
    </row>
    <row r="26" spans="1:11" ht="15.75" x14ac:dyDescent="0.25">
      <c r="D26" s="2">
        <v>25</v>
      </c>
      <c r="E26" s="6"/>
      <c r="F26" s="2"/>
      <c r="G26" s="2"/>
      <c r="H26" s="2"/>
      <c r="I26" s="2" t="str">
        <f t="shared" si="0"/>
        <v/>
      </c>
      <c r="J26" s="3"/>
      <c r="K26" s="5" t="str">
        <f>IFERROR(Tabla34[[#This Row],[USD]]/$B$1,"")</f>
        <v/>
      </c>
    </row>
    <row r="27" spans="1:11" ht="15.75" x14ac:dyDescent="0.25">
      <c r="D27" s="2">
        <v>26</v>
      </c>
      <c r="E27" s="6"/>
      <c r="F27" s="2"/>
      <c r="G27" s="2"/>
      <c r="H27" s="2"/>
      <c r="I27" s="2" t="str">
        <f t="shared" si="0"/>
        <v/>
      </c>
      <c r="J27" s="3"/>
      <c r="K27" s="5" t="str">
        <f>IFERROR(Tabla34[[#This Row],[USD]]/$B$1,"")</f>
        <v/>
      </c>
    </row>
    <row r="28" spans="1:11" ht="15.75" x14ac:dyDescent="0.25">
      <c r="D28" s="2">
        <v>27</v>
      </c>
      <c r="E28" s="6"/>
      <c r="F28" s="2"/>
      <c r="G28" s="2"/>
      <c r="H28" s="2"/>
      <c r="I28" s="2" t="str">
        <f t="shared" si="0"/>
        <v/>
      </c>
      <c r="J28" s="3"/>
      <c r="K28" s="5" t="str">
        <f>IFERROR(Tabla34[[#This Row],[USD]]/$B$1,"")</f>
        <v/>
      </c>
    </row>
    <row r="29" spans="1:11" ht="15.75" x14ac:dyDescent="0.25">
      <c r="D29" s="2">
        <v>28</v>
      </c>
      <c r="E29" s="6"/>
      <c r="F29" s="2"/>
      <c r="G29" s="2"/>
      <c r="H29" s="2"/>
      <c r="I29" s="2" t="str">
        <f t="shared" si="0"/>
        <v/>
      </c>
      <c r="J29" s="3"/>
      <c r="K29" s="5" t="str">
        <f>IFERROR(Tabla34[[#This Row],[USD]]/$B$1,"")</f>
        <v/>
      </c>
    </row>
    <row r="30" spans="1:11" ht="15.75" x14ac:dyDescent="0.25">
      <c r="D30" s="2">
        <v>29</v>
      </c>
      <c r="E30" s="6"/>
      <c r="F30" s="2"/>
      <c r="G30" s="2"/>
      <c r="H30" s="2"/>
      <c r="I30" s="2" t="str">
        <f t="shared" si="0"/>
        <v/>
      </c>
      <c r="J30" s="3"/>
      <c r="K30" s="5" t="str">
        <f>IFERROR(Tabla34[[#This Row],[USD]]/$B$1,"")</f>
        <v/>
      </c>
    </row>
    <row r="31" spans="1:11" ht="15.75" x14ac:dyDescent="0.25">
      <c r="D31" s="2">
        <v>30</v>
      </c>
      <c r="E31" s="6"/>
      <c r="F31" s="2"/>
      <c r="G31" s="2"/>
      <c r="H31" s="2"/>
      <c r="I31" s="2" t="str">
        <f t="shared" si="0"/>
        <v/>
      </c>
      <c r="J31" s="3"/>
      <c r="K31" s="5" t="str">
        <f>IFERROR(Tabla34[[#This Row],[USD]]/$B$1,"")</f>
        <v/>
      </c>
    </row>
    <row r="32" spans="1:11" ht="15.75" x14ac:dyDescent="0.25">
      <c r="D32" s="2">
        <v>31</v>
      </c>
      <c r="E32" s="6"/>
      <c r="F32" s="2"/>
      <c r="G32" s="2"/>
      <c r="H32" s="2"/>
      <c r="I32" s="2" t="str">
        <f t="shared" si="0"/>
        <v/>
      </c>
      <c r="J32" s="3"/>
      <c r="K32" s="5" t="str">
        <f>IFERROR(Tabla34[[#This Row],[USD]]/$B$1,"")</f>
        <v/>
      </c>
    </row>
    <row r="33" spans="4:11" ht="15.75" x14ac:dyDescent="0.25">
      <c r="D33" s="2">
        <v>32</v>
      </c>
      <c r="E33" s="6"/>
      <c r="F33" s="2"/>
      <c r="G33" s="2"/>
      <c r="H33" s="2"/>
      <c r="I33" s="2" t="str">
        <f t="shared" si="0"/>
        <v/>
      </c>
      <c r="J33" s="3"/>
      <c r="K33" s="5" t="str">
        <f>IFERROR(Tabla34[[#This Row],[USD]]/$B$1,"")</f>
        <v/>
      </c>
    </row>
    <row r="34" spans="4:11" ht="15.75" x14ac:dyDescent="0.25">
      <c r="D34" s="2">
        <v>33</v>
      </c>
      <c r="E34" s="6"/>
      <c r="F34" s="2"/>
      <c r="G34" s="2"/>
      <c r="H34" s="2"/>
      <c r="I34" s="2" t="str">
        <f t="shared" si="0"/>
        <v/>
      </c>
      <c r="J34" s="3"/>
      <c r="K34" s="5" t="str">
        <f>IFERROR(Tabla34[[#This Row],[USD]]/$B$1,"")</f>
        <v/>
      </c>
    </row>
    <row r="35" spans="4:11" ht="15.75" x14ac:dyDescent="0.25">
      <c r="D35" s="2">
        <v>34</v>
      </c>
      <c r="E35" s="6"/>
      <c r="F35" s="2"/>
      <c r="G35" s="2"/>
      <c r="H35" s="2"/>
      <c r="I35" s="2" t="str">
        <f t="shared" si="0"/>
        <v/>
      </c>
      <c r="J35" s="3"/>
      <c r="K35" s="5" t="str">
        <f>IFERROR(Tabla34[[#This Row],[USD]]/$B$1,"")</f>
        <v/>
      </c>
    </row>
    <row r="36" spans="4:11" ht="15.75" x14ac:dyDescent="0.25">
      <c r="D36" s="2">
        <v>35</v>
      </c>
      <c r="E36" s="6"/>
      <c r="F36" s="2"/>
      <c r="G36" s="2"/>
      <c r="H36" s="2"/>
      <c r="I36" s="2" t="str">
        <f t="shared" si="0"/>
        <v/>
      </c>
      <c r="J36" s="3"/>
      <c r="K36" s="5" t="str">
        <f>IFERROR(Tabla34[[#This Row],[USD]]/$B$1,"")</f>
        <v/>
      </c>
    </row>
    <row r="37" spans="4:11" ht="15.75" x14ac:dyDescent="0.25">
      <c r="D37" s="2">
        <v>36</v>
      </c>
      <c r="E37" s="6"/>
      <c r="F37" s="2"/>
      <c r="G37" s="2"/>
      <c r="H37" s="2"/>
      <c r="I37" s="2" t="str">
        <f t="shared" si="0"/>
        <v/>
      </c>
      <c r="J37" s="3"/>
      <c r="K37" s="5" t="str">
        <f>IFERROR(Tabla34[[#This Row],[USD]]/$B$1,"")</f>
        <v/>
      </c>
    </row>
    <row r="38" spans="4:11" ht="15.75" x14ac:dyDescent="0.25">
      <c r="D38" s="2">
        <v>37</v>
      </c>
      <c r="E38" s="6"/>
      <c r="F38" s="2"/>
      <c r="G38" s="2"/>
      <c r="H38" s="2"/>
      <c r="I38" s="2" t="str">
        <f t="shared" si="0"/>
        <v/>
      </c>
      <c r="J38" s="3"/>
      <c r="K38" s="5" t="str">
        <f>IFERROR(Tabla34[[#This Row],[USD]]/$B$1,"")</f>
        <v/>
      </c>
    </row>
    <row r="39" spans="4:11" ht="15.75" x14ac:dyDescent="0.25">
      <c r="D39" s="2">
        <v>38</v>
      </c>
      <c r="E39" s="6"/>
      <c r="F39" s="2"/>
      <c r="G39" s="2"/>
      <c r="H39" s="2"/>
      <c r="I39" s="2" t="str">
        <f t="shared" si="0"/>
        <v/>
      </c>
      <c r="J39" s="3"/>
      <c r="K39" s="5" t="str">
        <f>IFERROR(Tabla34[[#This Row],[USD]]/$B$1,"")</f>
        <v/>
      </c>
    </row>
    <row r="40" spans="4:11" ht="15.75" x14ac:dyDescent="0.25">
      <c r="D40" s="2">
        <v>39</v>
      </c>
      <c r="E40" s="6"/>
      <c r="F40" s="2"/>
      <c r="G40" s="2"/>
      <c r="H40" s="2"/>
      <c r="I40" s="2" t="str">
        <f t="shared" si="0"/>
        <v/>
      </c>
      <c r="J40" s="3"/>
      <c r="K40" s="5" t="str">
        <f>IFERROR(Tabla34[[#This Row],[USD]]/$B$1,"")</f>
        <v/>
      </c>
    </row>
    <row r="41" spans="4:11" ht="15.75" x14ac:dyDescent="0.25">
      <c r="D41" s="2">
        <v>40</v>
      </c>
      <c r="E41" s="6"/>
      <c r="F41" s="2"/>
      <c r="G41" s="2"/>
      <c r="H41" s="2"/>
      <c r="I41" s="2" t="str">
        <f t="shared" si="0"/>
        <v/>
      </c>
      <c r="J41" s="3"/>
      <c r="K41" s="5" t="str">
        <f>IFERROR(Tabla34[[#This Row],[USD]]/$B$1,"")</f>
        <v/>
      </c>
    </row>
    <row r="42" spans="4:11" ht="15.75" x14ac:dyDescent="0.25">
      <c r="D42" s="2">
        <v>41</v>
      </c>
      <c r="E42" s="6"/>
      <c r="F42" s="2"/>
      <c r="G42" s="2"/>
      <c r="H42" s="2"/>
      <c r="I42" s="2" t="str">
        <f t="shared" si="0"/>
        <v/>
      </c>
      <c r="J42" s="3"/>
      <c r="K42" s="5" t="str">
        <f>IFERROR(Tabla34[[#This Row],[USD]]/$B$1,"")</f>
        <v/>
      </c>
    </row>
    <row r="43" spans="4:11" ht="15.75" x14ac:dyDescent="0.25">
      <c r="D43" s="2">
        <v>42</v>
      </c>
      <c r="E43" s="6"/>
      <c r="F43" s="2"/>
      <c r="G43" s="2"/>
      <c r="H43" s="2"/>
      <c r="I43" s="2" t="str">
        <f t="shared" si="0"/>
        <v/>
      </c>
      <c r="J43" s="3"/>
      <c r="K43" s="5" t="str">
        <f>IFERROR(Tabla34[[#This Row],[USD]]/$B$1,"")</f>
        <v/>
      </c>
    </row>
    <row r="44" spans="4:11" ht="15.75" x14ac:dyDescent="0.25">
      <c r="D44" s="2">
        <v>43</v>
      </c>
      <c r="E44" s="6"/>
      <c r="F44" s="2"/>
      <c r="G44" s="2"/>
      <c r="H44" s="2"/>
      <c r="I44" s="2" t="str">
        <f t="shared" si="0"/>
        <v/>
      </c>
      <c r="J44" s="3"/>
      <c r="K44" s="5" t="str">
        <f>IFERROR(Tabla34[[#This Row],[USD]]/$B$1,"")</f>
        <v/>
      </c>
    </row>
    <row r="45" spans="4:11" ht="15.75" x14ac:dyDescent="0.25">
      <c r="D45" s="2">
        <v>44</v>
      </c>
      <c r="E45" s="6"/>
      <c r="F45" s="2"/>
      <c r="G45" s="2"/>
      <c r="H45" s="2"/>
      <c r="I45" s="2" t="str">
        <f t="shared" si="0"/>
        <v/>
      </c>
      <c r="J45" s="3"/>
      <c r="K45" s="5" t="str">
        <f>IFERROR(Tabla34[[#This Row],[USD]]/$B$1,"")</f>
        <v/>
      </c>
    </row>
    <row r="46" spans="4:11" ht="15.75" x14ac:dyDescent="0.25">
      <c r="D46" s="2">
        <v>45</v>
      </c>
      <c r="E46" s="6"/>
      <c r="F46" s="2"/>
      <c r="G46" s="2"/>
      <c r="H46" s="2"/>
      <c r="I46" s="2" t="str">
        <f t="shared" si="0"/>
        <v/>
      </c>
      <c r="J46" s="3"/>
      <c r="K46" s="5" t="str">
        <f>IFERROR(Tabla34[[#This Row],[USD]]/$B$1,"")</f>
        <v/>
      </c>
    </row>
    <row r="47" spans="4:11" ht="15.75" x14ac:dyDescent="0.25">
      <c r="D47" s="2">
        <v>46</v>
      </c>
      <c r="E47" s="6"/>
      <c r="F47" s="2"/>
      <c r="G47" s="2"/>
      <c r="H47" s="2"/>
      <c r="I47" s="2" t="str">
        <f t="shared" si="0"/>
        <v/>
      </c>
      <c r="J47" s="3"/>
      <c r="K47" s="5" t="str">
        <f>IFERROR(Tabla34[[#This Row],[USD]]/$B$1,"")</f>
        <v/>
      </c>
    </row>
    <row r="48" spans="4:11" ht="15.75" x14ac:dyDescent="0.25">
      <c r="D48" s="2">
        <v>47</v>
      </c>
      <c r="E48" s="6"/>
      <c r="F48" s="2"/>
      <c r="G48" s="2"/>
      <c r="H48" s="2"/>
      <c r="I48" s="2" t="str">
        <f t="shared" si="0"/>
        <v/>
      </c>
      <c r="J48" s="3"/>
      <c r="K48" s="5" t="str">
        <f>IFERROR(Tabla34[[#This Row],[USD]]/$B$1,"")</f>
        <v/>
      </c>
    </row>
    <row r="49" spans="4:11" ht="15.75" x14ac:dyDescent="0.25">
      <c r="D49" s="2">
        <v>48</v>
      </c>
      <c r="E49" s="6"/>
      <c r="F49" s="2"/>
      <c r="G49" s="2"/>
      <c r="H49" s="2"/>
      <c r="I49" s="2" t="str">
        <f t="shared" si="0"/>
        <v/>
      </c>
      <c r="J49" s="3"/>
      <c r="K49" s="5" t="str">
        <f>IFERROR(Tabla34[[#This Row],[USD]]/$B$1,"")</f>
        <v/>
      </c>
    </row>
    <row r="50" spans="4:11" ht="15.75" x14ac:dyDescent="0.25">
      <c r="D50" s="2">
        <v>49</v>
      </c>
      <c r="E50" s="6"/>
      <c r="F50" s="2"/>
      <c r="G50" s="2"/>
      <c r="H50" s="2"/>
      <c r="I50" s="2" t="str">
        <f t="shared" si="0"/>
        <v/>
      </c>
      <c r="J50" s="3"/>
      <c r="K50" s="5" t="str">
        <f>IFERROR(Tabla34[[#This Row],[USD]]/$B$1,"")</f>
        <v/>
      </c>
    </row>
    <row r="51" spans="4:11" ht="15.75" x14ac:dyDescent="0.25">
      <c r="D51" s="2">
        <v>50</v>
      </c>
      <c r="E51" s="6"/>
      <c r="F51" s="2"/>
      <c r="G51" s="2"/>
      <c r="H51" s="2"/>
      <c r="I51" s="2" t="str">
        <f t="shared" si="0"/>
        <v/>
      </c>
      <c r="J51" s="3"/>
      <c r="K51" s="5" t="str">
        <f>IFERROR(Tabla34[[#This Row],[USD]]/$B$1,"")</f>
        <v/>
      </c>
    </row>
    <row r="52" spans="4:11" ht="15.75" x14ac:dyDescent="0.25">
      <c r="D52" s="2">
        <v>51</v>
      </c>
      <c r="E52" s="6"/>
      <c r="F52" s="2"/>
      <c r="G52" s="2"/>
      <c r="H52" s="2"/>
      <c r="I52" s="2" t="str">
        <f t="shared" si="0"/>
        <v/>
      </c>
      <c r="J52" s="3"/>
      <c r="K52" s="5" t="str">
        <f>IFERROR(Tabla34[[#This Row],[USD]]/$B$1,"")</f>
        <v/>
      </c>
    </row>
    <row r="53" spans="4:11" ht="15.75" x14ac:dyDescent="0.25">
      <c r="D53" s="2">
        <v>52</v>
      </c>
      <c r="E53" s="6"/>
      <c r="F53" s="2"/>
      <c r="G53" s="2"/>
      <c r="H53" s="2"/>
      <c r="I53" s="2" t="str">
        <f t="shared" si="0"/>
        <v/>
      </c>
      <c r="J53" s="3"/>
      <c r="K53" s="5" t="str">
        <f>IFERROR(Tabla34[[#This Row],[USD]]/$B$1,"")</f>
        <v/>
      </c>
    </row>
    <row r="54" spans="4:11" ht="15.75" x14ac:dyDescent="0.25">
      <c r="D54" s="2">
        <v>53</v>
      </c>
      <c r="E54" s="6"/>
      <c r="F54" s="2"/>
      <c r="G54" s="2"/>
      <c r="H54" s="2"/>
      <c r="I54" s="2" t="str">
        <f t="shared" si="0"/>
        <v/>
      </c>
      <c r="J54" s="3"/>
      <c r="K54" s="5" t="str">
        <f>IFERROR(Tabla34[[#This Row],[USD]]/$B$1,"")</f>
        <v/>
      </c>
    </row>
    <row r="55" spans="4:11" ht="15.75" x14ac:dyDescent="0.25">
      <c r="D55" s="2">
        <v>54</v>
      </c>
      <c r="E55" s="6"/>
      <c r="F55" s="2"/>
      <c r="G55" s="2"/>
      <c r="H55" s="2"/>
      <c r="I55" s="2" t="str">
        <f t="shared" si="0"/>
        <v/>
      </c>
      <c r="J55" s="3"/>
      <c r="K55" s="5" t="str">
        <f>IFERROR(Tabla34[[#This Row],[USD]]/$B$1,"")</f>
        <v/>
      </c>
    </row>
    <row r="56" spans="4:11" ht="15.75" x14ac:dyDescent="0.25">
      <c r="D56" s="2">
        <v>55</v>
      </c>
      <c r="E56" s="6"/>
      <c r="F56" s="2"/>
      <c r="G56" s="2"/>
      <c r="H56" s="2"/>
      <c r="I56" s="2" t="str">
        <f t="shared" si="0"/>
        <v/>
      </c>
      <c r="J56" s="3"/>
      <c r="K56" s="5" t="str">
        <f>IFERROR(Tabla34[[#This Row],[USD]]/$B$1,"")</f>
        <v/>
      </c>
    </row>
    <row r="57" spans="4:11" ht="15.75" x14ac:dyDescent="0.25">
      <c r="D57" s="2">
        <v>56</v>
      </c>
      <c r="E57" s="6"/>
      <c r="F57" s="2"/>
      <c r="G57" s="2"/>
      <c r="H57" s="2"/>
      <c r="I57" s="2" t="str">
        <f t="shared" si="0"/>
        <v/>
      </c>
      <c r="J57" s="3"/>
      <c r="K57" s="5" t="str">
        <f>IFERROR(Tabla34[[#This Row],[USD]]/$B$1,"")</f>
        <v/>
      </c>
    </row>
    <row r="58" spans="4:11" ht="15.75" x14ac:dyDescent="0.25">
      <c r="D58" s="2">
        <v>57</v>
      </c>
      <c r="E58" s="6"/>
      <c r="F58" s="2"/>
      <c r="G58" s="2"/>
      <c r="H58" s="2"/>
      <c r="I58" s="2" t="str">
        <f t="shared" si="0"/>
        <v/>
      </c>
      <c r="J58" s="3"/>
      <c r="K58" s="5" t="str">
        <f>IFERROR(Tabla34[[#This Row],[USD]]/$B$1,"")</f>
        <v/>
      </c>
    </row>
    <row r="59" spans="4:11" ht="15.75" x14ac:dyDescent="0.25">
      <c r="D59" s="2">
        <v>58</v>
      </c>
      <c r="E59" s="6"/>
      <c r="F59" s="2"/>
      <c r="G59" s="2"/>
      <c r="H59" s="2"/>
      <c r="I59" s="2" t="str">
        <f t="shared" si="0"/>
        <v/>
      </c>
      <c r="J59" s="3"/>
      <c r="K59" s="5" t="str">
        <f>IFERROR(Tabla34[[#This Row],[USD]]/$B$1,"")</f>
        <v/>
      </c>
    </row>
    <row r="60" spans="4:11" ht="15.75" x14ac:dyDescent="0.25">
      <c r="D60" s="2">
        <v>59</v>
      </c>
      <c r="E60" s="6"/>
      <c r="F60" s="2"/>
      <c r="G60" s="2"/>
      <c r="H60" s="2"/>
      <c r="I60" s="2" t="str">
        <f t="shared" si="0"/>
        <v/>
      </c>
      <c r="J60" s="3"/>
      <c r="K60" s="5" t="str">
        <f>IFERROR(Tabla34[[#This Row],[USD]]/$B$1,"")</f>
        <v/>
      </c>
    </row>
    <row r="61" spans="4:11" ht="15.75" x14ac:dyDescent="0.25">
      <c r="D61" s="2">
        <v>60</v>
      </c>
      <c r="E61" s="6"/>
      <c r="F61" s="2"/>
      <c r="G61" s="2"/>
      <c r="H61" s="2"/>
      <c r="I61" s="2" t="str">
        <f t="shared" si="0"/>
        <v/>
      </c>
      <c r="J61" s="3"/>
      <c r="K61" s="5" t="str">
        <f>IFERROR(Tabla34[[#This Row],[USD]]/$B$1,"")</f>
        <v/>
      </c>
    </row>
    <row r="62" spans="4:11" ht="15.75" x14ac:dyDescent="0.25">
      <c r="D62" s="2">
        <v>61</v>
      </c>
      <c r="E62" s="6"/>
      <c r="F62" s="2"/>
      <c r="G62" s="2"/>
      <c r="H62" s="2"/>
      <c r="I62" s="2" t="str">
        <f t="shared" si="0"/>
        <v/>
      </c>
      <c r="J62" s="3"/>
      <c r="K62" s="5" t="str">
        <f>IFERROR(Tabla34[[#This Row],[USD]]/$B$1,"")</f>
        <v/>
      </c>
    </row>
    <row r="63" spans="4:11" ht="15.75" x14ac:dyDescent="0.25">
      <c r="D63" s="2">
        <v>62</v>
      </c>
      <c r="E63" s="6"/>
      <c r="F63" s="2"/>
      <c r="G63" s="2"/>
      <c r="H63" s="2"/>
      <c r="I63" s="2" t="str">
        <f t="shared" si="0"/>
        <v/>
      </c>
      <c r="J63" s="3"/>
      <c r="K63" s="5" t="str">
        <f>IFERROR(Tabla34[[#This Row],[USD]]/$B$1,"")</f>
        <v/>
      </c>
    </row>
    <row r="64" spans="4:11" ht="15.75" x14ac:dyDescent="0.25">
      <c r="D64" s="2">
        <v>63</v>
      </c>
      <c r="E64" s="6"/>
      <c r="F64" s="2"/>
      <c r="G64" s="2"/>
      <c r="H64" s="2"/>
      <c r="I64" s="2" t="str">
        <f t="shared" si="0"/>
        <v/>
      </c>
      <c r="J64" s="3"/>
      <c r="K64" s="5" t="str">
        <f>IFERROR(Tabla34[[#This Row],[USD]]/$B$1,"")</f>
        <v/>
      </c>
    </row>
    <row r="65" spans="4:11" ht="15.75" x14ac:dyDescent="0.25">
      <c r="D65" s="2">
        <v>64</v>
      </c>
      <c r="E65" s="6"/>
      <c r="F65" s="2"/>
      <c r="G65" s="2"/>
      <c r="H65" s="2"/>
      <c r="I65" s="2" t="str">
        <f t="shared" si="0"/>
        <v/>
      </c>
      <c r="J65" s="3"/>
      <c r="K65" s="5" t="str">
        <f>IFERROR(Tabla34[[#This Row],[USD]]/$B$1,"")</f>
        <v/>
      </c>
    </row>
    <row r="66" spans="4:11" ht="15.75" x14ac:dyDescent="0.25">
      <c r="D66" s="2">
        <v>65</v>
      </c>
      <c r="E66" s="6"/>
      <c r="F66" s="2"/>
      <c r="G66" s="2"/>
      <c r="H66" s="2"/>
      <c r="I66" s="2" t="str">
        <f t="shared" si="0"/>
        <v/>
      </c>
      <c r="J66" s="3"/>
      <c r="K66" s="5" t="str">
        <f>IFERROR(Tabla34[[#This Row],[USD]]/$B$1,"")</f>
        <v/>
      </c>
    </row>
    <row r="67" spans="4:11" ht="15.75" x14ac:dyDescent="0.25">
      <c r="D67" s="2">
        <v>66</v>
      </c>
      <c r="E67" s="6"/>
      <c r="F67" s="2"/>
      <c r="G67" s="2"/>
      <c r="H67" s="2"/>
      <c r="I67" s="2" t="str">
        <f t="shared" ref="I67:I130" si="1">IF(J67="","",IF(J67&gt;3,"Ganado",IF(J67&lt;-3,"Perdido","Break Even")))</f>
        <v/>
      </c>
      <c r="J67" s="3"/>
      <c r="K67" s="5" t="str">
        <f>IFERROR(Tabla34[[#This Row],[USD]]/$B$1,"")</f>
        <v/>
      </c>
    </row>
    <row r="68" spans="4:11" ht="15.75" x14ac:dyDescent="0.25">
      <c r="D68" s="2">
        <v>67</v>
      </c>
      <c r="E68" s="6"/>
      <c r="F68" s="2"/>
      <c r="G68" s="2"/>
      <c r="H68" s="2"/>
      <c r="I68" s="2" t="str">
        <f t="shared" si="1"/>
        <v/>
      </c>
      <c r="J68" s="3"/>
      <c r="K68" s="5" t="str">
        <f>IFERROR(Tabla34[[#This Row],[USD]]/$B$1,"")</f>
        <v/>
      </c>
    </row>
    <row r="69" spans="4:11" ht="15.75" x14ac:dyDescent="0.25">
      <c r="D69" s="2">
        <v>68</v>
      </c>
      <c r="E69" s="6"/>
      <c r="F69" s="2"/>
      <c r="G69" s="2"/>
      <c r="H69" s="2"/>
      <c r="I69" s="2" t="str">
        <f t="shared" si="1"/>
        <v/>
      </c>
      <c r="J69" s="3"/>
      <c r="K69" s="5" t="str">
        <f>IFERROR(Tabla34[[#This Row],[USD]]/$B$1,"")</f>
        <v/>
      </c>
    </row>
    <row r="70" spans="4:11" ht="15.75" x14ac:dyDescent="0.25">
      <c r="D70" s="2">
        <v>69</v>
      </c>
      <c r="E70" s="6"/>
      <c r="F70" s="2"/>
      <c r="G70" s="2"/>
      <c r="H70" s="2"/>
      <c r="I70" s="2" t="str">
        <f t="shared" si="1"/>
        <v/>
      </c>
      <c r="J70" s="3"/>
      <c r="K70" s="5" t="str">
        <f>IFERROR(Tabla34[[#This Row],[USD]]/$B$1,"")</f>
        <v/>
      </c>
    </row>
    <row r="71" spans="4:11" ht="15.75" x14ac:dyDescent="0.25">
      <c r="D71" s="2">
        <v>70</v>
      </c>
      <c r="E71" s="6"/>
      <c r="F71" s="2"/>
      <c r="G71" s="2"/>
      <c r="H71" s="2"/>
      <c r="I71" s="2" t="str">
        <f t="shared" si="1"/>
        <v/>
      </c>
      <c r="J71" s="3"/>
      <c r="K71" s="5" t="str">
        <f>IFERROR(Tabla34[[#This Row],[USD]]/$B$1,"")</f>
        <v/>
      </c>
    </row>
    <row r="72" spans="4:11" ht="15.75" x14ac:dyDescent="0.25">
      <c r="D72" s="2">
        <v>71</v>
      </c>
      <c r="E72" s="6"/>
      <c r="F72" s="2"/>
      <c r="G72" s="2"/>
      <c r="H72" s="2"/>
      <c r="I72" s="2" t="str">
        <f t="shared" si="1"/>
        <v/>
      </c>
      <c r="J72" s="3"/>
      <c r="K72" s="5" t="str">
        <f>IFERROR(Tabla34[[#This Row],[USD]]/$B$1,"")</f>
        <v/>
      </c>
    </row>
    <row r="73" spans="4:11" ht="15.75" x14ac:dyDescent="0.25">
      <c r="D73" s="2">
        <v>72</v>
      </c>
      <c r="E73" s="6"/>
      <c r="F73" s="2"/>
      <c r="G73" s="2"/>
      <c r="H73" s="2"/>
      <c r="I73" s="2" t="str">
        <f t="shared" si="1"/>
        <v/>
      </c>
      <c r="J73" s="3"/>
      <c r="K73" s="5" t="str">
        <f>IFERROR(Tabla34[[#This Row],[USD]]/$B$1,"")</f>
        <v/>
      </c>
    </row>
    <row r="74" spans="4:11" ht="15.75" x14ac:dyDescent="0.25">
      <c r="D74" s="2">
        <v>73</v>
      </c>
      <c r="E74" s="6"/>
      <c r="F74" s="2"/>
      <c r="G74" s="2"/>
      <c r="H74" s="2"/>
      <c r="I74" s="2" t="str">
        <f t="shared" si="1"/>
        <v/>
      </c>
      <c r="J74" s="3"/>
      <c r="K74" s="5" t="str">
        <f>IFERROR(Tabla34[[#This Row],[USD]]/$B$1,"")</f>
        <v/>
      </c>
    </row>
    <row r="75" spans="4:11" ht="15.75" x14ac:dyDescent="0.25">
      <c r="D75" s="2">
        <v>74</v>
      </c>
      <c r="E75" s="6"/>
      <c r="F75" s="2"/>
      <c r="G75" s="2"/>
      <c r="H75" s="2"/>
      <c r="I75" s="2" t="str">
        <f t="shared" si="1"/>
        <v/>
      </c>
      <c r="J75" s="3"/>
      <c r="K75" s="5" t="str">
        <f>IFERROR(Tabla34[[#This Row],[USD]]/$B$1,"")</f>
        <v/>
      </c>
    </row>
    <row r="76" spans="4:11" ht="15.75" x14ac:dyDescent="0.25">
      <c r="D76" s="2">
        <v>75</v>
      </c>
      <c r="E76" s="6"/>
      <c r="F76" s="2"/>
      <c r="G76" s="2"/>
      <c r="H76" s="2"/>
      <c r="I76" s="2" t="str">
        <f t="shared" si="1"/>
        <v/>
      </c>
      <c r="J76" s="3"/>
      <c r="K76" s="5" t="str">
        <f>IFERROR(Tabla34[[#This Row],[USD]]/$B$1,"")</f>
        <v/>
      </c>
    </row>
    <row r="77" spans="4:11" ht="15.75" x14ac:dyDescent="0.25">
      <c r="D77" s="2">
        <v>76</v>
      </c>
      <c r="E77" s="6"/>
      <c r="F77" s="2"/>
      <c r="G77" s="2"/>
      <c r="H77" s="2"/>
      <c r="I77" s="2" t="str">
        <f t="shared" si="1"/>
        <v/>
      </c>
      <c r="J77" s="3"/>
      <c r="K77" s="5" t="str">
        <f>IFERROR(Tabla34[[#This Row],[USD]]/$B$1,"")</f>
        <v/>
      </c>
    </row>
    <row r="78" spans="4:11" ht="15.75" x14ac:dyDescent="0.25">
      <c r="D78" s="2">
        <v>77</v>
      </c>
      <c r="E78" s="6"/>
      <c r="F78" s="2"/>
      <c r="G78" s="2"/>
      <c r="H78" s="2"/>
      <c r="I78" s="2" t="str">
        <f t="shared" si="1"/>
        <v/>
      </c>
      <c r="J78" s="3"/>
      <c r="K78" s="5" t="str">
        <f>IFERROR(Tabla34[[#This Row],[USD]]/$B$1,"")</f>
        <v/>
      </c>
    </row>
    <row r="79" spans="4:11" ht="15.75" x14ac:dyDescent="0.25">
      <c r="D79" s="2">
        <v>78</v>
      </c>
      <c r="E79" s="6"/>
      <c r="F79" s="2"/>
      <c r="G79" s="2"/>
      <c r="H79" s="2"/>
      <c r="I79" s="2" t="str">
        <f t="shared" si="1"/>
        <v/>
      </c>
      <c r="J79" s="3"/>
      <c r="K79" s="5" t="str">
        <f>IFERROR(Tabla34[[#This Row],[USD]]/$B$1,"")</f>
        <v/>
      </c>
    </row>
    <row r="80" spans="4:11" ht="15.75" x14ac:dyDescent="0.25">
      <c r="D80" s="2">
        <v>79</v>
      </c>
      <c r="E80" s="6"/>
      <c r="F80" s="2"/>
      <c r="G80" s="2"/>
      <c r="H80" s="2"/>
      <c r="I80" s="2" t="str">
        <f t="shared" si="1"/>
        <v/>
      </c>
      <c r="J80" s="3"/>
      <c r="K80" s="5" t="str">
        <f>IFERROR(Tabla34[[#This Row],[USD]]/$B$1,"")</f>
        <v/>
      </c>
    </row>
    <row r="81" spans="4:11" ht="15.75" x14ac:dyDescent="0.25">
      <c r="D81" s="2">
        <v>80</v>
      </c>
      <c r="E81" s="6"/>
      <c r="F81" s="2"/>
      <c r="G81" s="2"/>
      <c r="H81" s="2"/>
      <c r="I81" s="2" t="str">
        <f t="shared" si="1"/>
        <v/>
      </c>
      <c r="J81" s="3"/>
      <c r="K81" s="5" t="str">
        <f>IFERROR(Tabla34[[#This Row],[USD]]/$B$1,"")</f>
        <v/>
      </c>
    </row>
    <row r="82" spans="4:11" ht="15.75" x14ac:dyDescent="0.25">
      <c r="D82" s="2">
        <v>81</v>
      </c>
      <c r="E82" s="6"/>
      <c r="F82" s="2"/>
      <c r="G82" s="2"/>
      <c r="H82" s="2"/>
      <c r="I82" s="2" t="str">
        <f t="shared" si="1"/>
        <v/>
      </c>
      <c r="J82" s="3"/>
      <c r="K82" s="5" t="str">
        <f>IFERROR(Tabla34[[#This Row],[USD]]/$B$1,"")</f>
        <v/>
      </c>
    </row>
    <row r="83" spans="4:11" ht="15.75" x14ac:dyDescent="0.25">
      <c r="D83" s="2">
        <v>82</v>
      </c>
      <c r="E83" s="6"/>
      <c r="F83" s="2"/>
      <c r="G83" s="2"/>
      <c r="H83" s="2"/>
      <c r="I83" s="2" t="str">
        <f t="shared" si="1"/>
        <v/>
      </c>
      <c r="J83" s="3"/>
      <c r="K83" s="5" t="str">
        <f>IFERROR(Tabla34[[#This Row],[USD]]/$B$1,"")</f>
        <v/>
      </c>
    </row>
    <row r="84" spans="4:11" ht="15.75" x14ac:dyDescent="0.25">
      <c r="D84" s="2">
        <v>83</v>
      </c>
      <c r="E84" s="6"/>
      <c r="F84" s="2"/>
      <c r="G84" s="2"/>
      <c r="H84" s="2"/>
      <c r="I84" s="2" t="str">
        <f t="shared" si="1"/>
        <v/>
      </c>
      <c r="J84" s="3"/>
      <c r="K84" s="5" t="str">
        <f>IFERROR(Tabla34[[#This Row],[USD]]/$B$1,"")</f>
        <v/>
      </c>
    </row>
    <row r="85" spans="4:11" ht="15.75" x14ac:dyDescent="0.25">
      <c r="D85" s="2">
        <v>84</v>
      </c>
      <c r="E85" s="6"/>
      <c r="F85" s="2"/>
      <c r="G85" s="2"/>
      <c r="H85" s="2"/>
      <c r="I85" s="2" t="str">
        <f t="shared" si="1"/>
        <v/>
      </c>
      <c r="J85" s="3"/>
      <c r="K85" s="5" t="str">
        <f>IFERROR(Tabla34[[#This Row],[USD]]/$B$1,"")</f>
        <v/>
      </c>
    </row>
    <row r="86" spans="4:11" ht="15.75" x14ac:dyDescent="0.25">
      <c r="D86" s="2">
        <v>85</v>
      </c>
      <c r="E86" s="6"/>
      <c r="F86" s="2"/>
      <c r="G86" s="2"/>
      <c r="H86" s="2"/>
      <c r="I86" s="2" t="str">
        <f t="shared" si="1"/>
        <v/>
      </c>
      <c r="J86" s="3"/>
      <c r="K86" s="5" t="str">
        <f>IFERROR(Tabla34[[#This Row],[USD]]/$B$1,"")</f>
        <v/>
      </c>
    </row>
    <row r="87" spans="4:11" ht="15.75" x14ac:dyDescent="0.25">
      <c r="D87" s="2">
        <v>86</v>
      </c>
      <c r="E87" s="6"/>
      <c r="F87" s="2"/>
      <c r="G87" s="2"/>
      <c r="H87" s="2"/>
      <c r="I87" s="2" t="str">
        <f t="shared" si="1"/>
        <v/>
      </c>
      <c r="J87" s="3"/>
      <c r="K87" s="5" t="str">
        <f>IFERROR(Tabla34[[#This Row],[USD]]/$B$1,"")</f>
        <v/>
      </c>
    </row>
    <row r="88" spans="4:11" ht="15.75" x14ac:dyDescent="0.25">
      <c r="D88" s="2">
        <v>87</v>
      </c>
      <c r="E88" s="6"/>
      <c r="F88" s="2"/>
      <c r="G88" s="2"/>
      <c r="H88" s="2"/>
      <c r="I88" s="2" t="str">
        <f t="shared" si="1"/>
        <v/>
      </c>
      <c r="J88" s="3"/>
      <c r="K88" s="5" t="str">
        <f>IFERROR(Tabla34[[#This Row],[USD]]/$B$1,"")</f>
        <v/>
      </c>
    </row>
    <row r="89" spans="4:11" ht="15.75" x14ac:dyDescent="0.25">
      <c r="D89" s="2">
        <v>88</v>
      </c>
      <c r="E89" s="6"/>
      <c r="F89" s="2"/>
      <c r="G89" s="2"/>
      <c r="H89" s="2"/>
      <c r="I89" s="2" t="str">
        <f t="shared" si="1"/>
        <v/>
      </c>
      <c r="J89" s="3"/>
      <c r="K89" s="5" t="str">
        <f>IFERROR(Tabla34[[#This Row],[USD]]/$B$1,"")</f>
        <v/>
      </c>
    </row>
    <row r="90" spans="4:11" ht="15.75" x14ac:dyDescent="0.25">
      <c r="D90" s="2">
        <v>89</v>
      </c>
      <c r="E90" s="6"/>
      <c r="F90" s="2"/>
      <c r="G90" s="2"/>
      <c r="H90" s="2"/>
      <c r="I90" s="2" t="str">
        <f t="shared" si="1"/>
        <v/>
      </c>
      <c r="J90" s="3"/>
      <c r="K90" s="5" t="str">
        <f>IFERROR(Tabla34[[#This Row],[USD]]/$B$1,"")</f>
        <v/>
      </c>
    </row>
    <row r="91" spans="4:11" ht="15.75" x14ac:dyDescent="0.25">
      <c r="D91" s="2">
        <v>90</v>
      </c>
      <c r="E91" s="6"/>
      <c r="F91" s="2"/>
      <c r="G91" s="2"/>
      <c r="H91" s="2"/>
      <c r="I91" s="2" t="str">
        <f t="shared" si="1"/>
        <v/>
      </c>
      <c r="J91" s="3"/>
      <c r="K91" s="5" t="str">
        <f>IFERROR(Tabla34[[#This Row],[USD]]/$B$1,"")</f>
        <v/>
      </c>
    </row>
    <row r="92" spans="4:11" ht="15.75" x14ac:dyDescent="0.25">
      <c r="D92" s="2">
        <v>91</v>
      </c>
      <c r="E92" s="6"/>
      <c r="F92" s="2"/>
      <c r="G92" s="2"/>
      <c r="H92" s="2"/>
      <c r="I92" s="2" t="str">
        <f t="shared" si="1"/>
        <v/>
      </c>
      <c r="J92" s="3"/>
      <c r="K92" s="5" t="str">
        <f>IFERROR(Tabla34[[#This Row],[USD]]/$B$1,"")</f>
        <v/>
      </c>
    </row>
    <row r="93" spans="4:11" ht="15.75" x14ac:dyDescent="0.25">
      <c r="D93" s="2">
        <v>92</v>
      </c>
      <c r="E93" s="6"/>
      <c r="F93" s="2"/>
      <c r="G93" s="2"/>
      <c r="H93" s="2"/>
      <c r="I93" s="2" t="str">
        <f t="shared" si="1"/>
        <v/>
      </c>
      <c r="J93" s="3"/>
      <c r="K93" s="5" t="str">
        <f>IFERROR(Tabla34[[#This Row],[USD]]/$B$1,"")</f>
        <v/>
      </c>
    </row>
    <row r="94" spans="4:11" ht="15.75" x14ac:dyDescent="0.25">
      <c r="D94" s="2">
        <v>93</v>
      </c>
      <c r="E94" s="6"/>
      <c r="F94" s="2"/>
      <c r="G94" s="2"/>
      <c r="H94" s="2"/>
      <c r="I94" s="2" t="str">
        <f t="shared" si="1"/>
        <v/>
      </c>
      <c r="J94" s="3"/>
      <c r="K94" s="5" t="str">
        <f>IFERROR(Tabla34[[#This Row],[USD]]/$B$1,"")</f>
        <v/>
      </c>
    </row>
    <row r="95" spans="4:11" ht="15.75" x14ac:dyDescent="0.25">
      <c r="D95" s="2">
        <v>94</v>
      </c>
      <c r="E95" s="6"/>
      <c r="F95" s="2"/>
      <c r="G95" s="2"/>
      <c r="H95" s="2"/>
      <c r="I95" s="2" t="str">
        <f t="shared" si="1"/>
        <v/>
      </c>
      <c r="J95" s="3"/>
      <c r="K95" s="5" t="str">
        <f>IFERROR(Tabla34[[#This Row],[USD]]/$B$1,"")</f>
        <v/>
      </c>
    </row>
    <row r="96" spans="4:11" ht="15.75" x14ac:dyDescent="0.25">
      <c r="D96" s="2">
        <v>95</v>
      </c>
      <c r="E96" s="6"/>
      <c r="F96" s="2"/>
      <c r="G96" s="2"/>
      <c r="H96" s="2"/>
      <c r="I96" s="2" t="str">
        <f t="shared" si="1"/>
        <v/>
      </c>
      <c r="J96" s="3"/>
      <c r="K96" s="5" t="str">
        <f>IFERROR(Tabla34[[#This Row],[USD]]/$B$1,"")</f>
        <v/>
      </c>
    </row>
    <row r="97" spans="4:11" ht="15.75" x14ac:dyDescent="0.25">
      <c r="D97" s="2">
        <v>96</v>
      </c>
      <c r="E97" s="6"/>
      <c r="F97" s="2"/>
      <c r="G97" s="2"/>
      <c r="H97" s="2"/>
      <c r="I97" s="2" t="str">
        <f t="shared" si="1"/>
        <v/>
      </c>
      <c r="J97" s="3"/>
      <c r="K97" s="5" t="str">
        <f>IFERROR(Tabla34[[#This Row],[USD]]/$B$1,"")</f>
        <v/>
      </c>
    </row>
    <row r="98" spans="4:11" ht="15.75" x14ac:dyDescent="0.25">
      <c r="D98" s="2">
        <v>97</v>
      </c>
      <c r="E98" s="6"/>
      <c r="F98" s="2"/>
      <c r="G98" s="2"/>
      <c r="H98" s="2"/>
      <c r="I98" s="2" t="str">
        <f t="shared" si="1"/>
        <v/>
      </c>
      <c r="J98" s="3"/>
      <c r="K98" s="5" t="str">
        <f>IFERROR(Tabla34[[#This Row],[USD]]/$B$1,"")</f>
        <v/>
      </c>
    </row>
    <row r="99" spans="4:11" ht="15.75" x14ac:dyDescent="0.25">
      <c r="D99" s="2">
        <v>98</v>
      </c>
      <c r="E99" s="6"/>
      <c r="F99" s="2"/>
      <c r="G99" s="2"/>
      <c r="H99" s="2"/>
      <c r="I99" s="2" t="str">
        <f t="shared" si="1"/>
        <v/>
      </c>
      <c r="J99" s="3"/>
      <c r="K99" s="5" t="str">
        <f>IFERROR(Tabla34[[#This Row],[USD]]/$B$1,"")</f>
        <v/>
      </c>
    </row>
    <row r="100" spans="4:11" ht="15.75" x14ac:dyDescent="0.25">
      <c r="D100" s="2">
        <v>99</v>
      </c>
      <c r="E100" s="6"/>
      <c r="F100" s="2"/>
      <c r="G100" s="2"/>
      <c r="H100" s="2"/>
      <c r="I100" s="2" t="str">
        <f t="shared" si="1"/>
        <v/>
      </c>
      <c r="J100" s="3"/>
      <c r="K100" s="5" t="str">
        <f>IFERROR(Tabla34[[#This Row],[USD]]/$B$1,"")</f>
        <v/>
      </c>
    </row>
    <row r="101" spans="4:11" ht="15.75" x14ac:dyDescent="0.25">
      <c r="D101" s="2">
        <v>100</v>
      </c>
      <c r="E101" s="6"/>
      <c r="F101" s="2"/>
      <c r="G101" s="2"/>
      <c r="H101" s="2"/>
      <c r="I101" s="2" t="str">
        <f t="shared" si="1"/>
        <v/>
      </c>
      <c r="J101" s="3"/>
      <c r="K101" s="5" t="str">
        <f>IFERROR(Tabla34[[#This Row],[USD]]/$B$1,"")</f>
        <v/>
      </c>
    </row>
    <row r="102" spans="4:11" ht="15.75" x14ac:dyDescent="0.25">
      <c r="D102" s="2">
        <v>101</v>
      </c>
      <c r="E102" s="6"/>
      <c r="F102" s="2"/>
      <c r="G102" s="2"/>
      <c r="H102" s="2"/>
      <c r="I102" s="2" t="str">
        <f t="shared" si="1"/>
        <v/>
      </c>
      <c r="J102" s="3"/>
      <c r="K102" s="5" t="str">
        <f>IFERROR(Tabla34[[#This Row],[USD]]/$B$1,"")</f>
        <v/>
      </c>
    </row>
    <row r="103" spans="4:11" ht="15.75" x14ac:dyDescent="0.25">
      <c r="D103" s="2">
        <v>102</v>
      </c>
      <c r="E103" s="6"/>
      <c r="F103" s="2"/>
      <c r="G103" s="2"/>
      <c r="H103" s="2"/>
      <c r="I103" s="2" t="str">
        <f t="shared" si="1"/>
        <v/>
      </c>
      <c r="J103" s="3"/>
      <c r="K103" s="5" t="str">
        <f>IFERROR(Tabla34[[#This Row],[USD]]/$B$1,"")</f>
        <v/>
      </c>
    </row>
    <row r="104" spans="4:11" ht="15.75" x14ac:dyDescent="0.25">
      <c r="D104" s="2">
        <v>103</v>
      </c>
      <c r="E104" s="6"/>
      <c r="F104" s="2"/>
      <c r="G104" s="2"/>
      <c r="H104" s="2"/>
      <c r="I104" s="2" t="str">
        <f t="shared" si="1"/>
        <v/>
      </c>
      <c r="J104" s="3"/>
      <c r="K104" s="5" t="str">
        <f>IFERROR(Tabla34[[#This Row],[USD]]/$B$1,"")</f>
        <v/>
      </c>
    </row>
    <row r="105" spans="4:11" ht="15.75" x14ac:dyDescent="0.25">
      <c r="D105" s="2">
        <v>104</v>
      </c>
      <c r="E105" s="6"/>
      <c r="F105" s="2"/>
      <c r="G105" s="2"/>
      <c r="H105" s="2"/>
      <c r="I105" s="2" t="str">
        <f t="shared" si="1"/>
        <v/>
      </c>
      <c r="J105" s="3"/>
      <c r="K105" s="5" t="str">
        <f>IFERROR(Tabla34[[#This Row],[USD]]/$B$1,"")</f>
        <v/>
      </c>
    </row>
    <row r="106" spans="4:11" ht="15.75" x14ac:dyDescent="0.25">
      <c r="D106" s="2">
        <v>105</v>
      </c>
      <c r="E106" s="6"/>
      <c r="F106" s="2"/>
      <c r="G106" s="2"/>
      <c r="H106" s="2"/>
      <c r="I106" s="2" t="str">
        <f t="shared" si="1"/>
        <v/>
      </c>
      <c r="J106" s="3"/>
      <c r="K106" s="5" t="str">
        <f>IFERROR(Tabla34[[#This Row],[USD]]/$B$1,"")</f>
        <v/>
      </c>
    </row>
    <row r="107" spans="4:11" ht="15.75" x14ac:dyDescent="0.25">
      <c r="D107" s="2">
        <v>106</v>
      </c>
      <c r="E107" s="6"/>
      <c r="F107" s="2"/>
      <c r="G107" s="2"/>
      <c r="H107" s="2"/>
      <c r="I107" s="2" t="str">
        <f t="shared" si="1"/>
        <v/>
      </c>
      <c r="J107" s="3"/>
      <c r="K107" s="5" t="str">
        <f>IFERROR(Tabla34[[#This Row],[USD]]/$B$1,"")</f>
        <v/>
      </c>
    </row>
    <row r="108" spans="4:11" ht="15.75" x14ac:dyDescent="0.25">
      <c r="D108" s="2">
        <v>107</v>
      </c>
      <c r="E108" s="6"/>
      <c r="F108" s="2"/>
      <c r="G108" s="2"/>
      <c r="H108" s="2"/>
      <c r="I108" s="2" t="str">
        <f t="shared" si="1"/>
        <v/>
      </c>
      <c r="J108" s="3"/>
      <c r="K108" s="5" t="str">
        <f>IFERROR(Tabla34[[#This Row],[USD]]/$B$1,"")</f>
        <v/>
      </c>
    </row>
    <row r="109" spans="4:11" ht="15.75" x14ac:dyDescent="0.25">
      <c r="D109" s="2">
        <v>108</v>
      </c>
      <c r="E109" s="6"/>
      <c r="F109" s="2"/>
      <c r="G109" s="2"/>
      <c r="H109" s="2"/>
      <c r="I109" s="2" t="str">
        <f t="shared" si="1"/>
        <v/>
      </c>
      <c r="J109" s="3"/>
      <c r="K109" s="5" t="str">
        <f>IFERROR(Tabla34[[#This Row],[USD]]/$B$1,"")</f>
        <v/>
      </c>
    </row>
    <row r="110" spans="4:11" ht="15.75" x14ac:dyDescent="0.25">
      <c r="D110" s="2">
        <v>109</v>
      </c>
      <c r="E110" s="6"/>
      <c r="F110" s="2"/>
      <c r="G110" s="2"/>
      <c r="H110" s="2"/>
      <c r="I110" s="2" t="str">
        <f t="shared" si="1"/>
        <v/>
      </c>
      <c r="J110" s="3"/>
      <c r="K110" s="5" t="str">
        <f>IFERROR(Tabla34[[#This Row],[USD]]/$B$1,"")</f>
        <v/>
      </c>
    </row>
    <row r="111" spans="4:11" ht="15.75" x14ac:dyDescent="0.25">
      <c r="D111" s="2">
        <v>110</v>
      </c>
      <c r="E111" s="6"/>
      <c r="F111" s="2"/>
      <c r="G111" s="2"/>
      <c r="H111" s="2"/>
      <c r="I111" s="2" t="str">
        <f t="shared" si="1"/>
        <v/>
      </c>
      <c r="J111" s="3"/>
      <c r="K111" s="5" t="str">
        <f>IFERROR(Tabla34[[#This Row],[USD]]/$B$1,"")</f>
        <v/>
      </c>
    </row>
    <row r="112" spans="4:11" ht="15.75" x14ac:dyDescent="0.25">
      <c r="D112" s="2">
        <v>111</v>
      </c>
      <c r="E112" s="6"/>
      <c r="F112" s="2"/>
      <c r="G112" s="2"/>
      <c r="H112" s="2"/>
      <c r="I112" s="2" t="str">
        <f t="shared" si="1"/>
        <v/>
      </c>
      <c r="J112" s="3"/>
      <c r="K112" s="5" t="str">
        <f>IFERROR(Tabla34[[#This Row],[USD]]/$B$1,"")</f>
        <v/>
      </c>
    </row>
    <row r="113" spans="4:11" ht="15.75" x14ac:dyDescent="0.25">
      <c r="D113" s="2">
        <v>112</v>
      </c>
      <c r="E113" s="6"/>
      <c r="F113" s="2"/>
      <c r="G113" s="2"/>
      <c r="H113" s="2"/>
      <c r="I113" s="2" t="str">
        <f t="shared" si="1"/>
        <v/>
      </c>
      <c r="J113" s="3"/>
      <c r="K113" s="5" t="str">
        <f>IFERROR(Tabla34[[#This Row],[USD]]/$B$1,"")</f>
        <v/>
      </c>
    </row>
    <row r="114" spans="4:11" ht="15.75" x14ac:dyDescent="0.25">
      <c r="D114" s="2">
        <v>113</v>
      </c>
      <c r="E114" s="6"/>
      <c r="F114" s="2"/>
      <c r="G114" s="2"/>
      <c r="H114" s="2"/>
      <c r="I114" s="2" t="str">
        <f t="shared" si="1"/>
        <v/>
      </c>
      <c r="J114" s="3"/>
      <c r="K114" s="5" t="str">
        <f>IFERROR(Tabla34[[#This Row],[USD]]/$B$1,"")</f>
        <v/>
      </c>
    </row>
    <row r="115" spans="4:11" ht="15.75" x14ac:dyDescent="0.25">
      <c r="D115" s="2">
        <v>114</v>
      </c>
      <c r="E115" s="6"/>
      <c r="F115" s="2"/>
      <c r="G115" s="2"/>
      <c r="H115" s="2"/>
      <c r="I115" s="2" t="str">
        <f t="shared" si="1"/>
        <v/>
      </c>
      <c r="J115" s="3"/>
      <c r="K115" s="5" t="str">
        <f>IFERROR(Tabla34[[#This Row],[USD]]/$B$1,"")</f>
        <v/>
      </c>
    </row>
    <row r="116" spans="4:11" ht="15.75" x14ac:dyDescent="0.25">
      <c r="D116" s="2">
        <v>115</v>
      </c>
      <c r="E116" s="6"/>
      <c r="F116" s="2"/>
      <c r="G116" s="2"/>
      <c r="H116" s="2"/>
      <c r="I116" s="2" t="str">
        <f t="shared" si="1"/>
        <v/>
      </c>
      <c r="J116" s="3"/>
      <c r="K116" s="5" t="str">
        <f>IFERROR(Tabla34[[#This Row],[USD]]/$B$1,"")</f>
        <v/>
      </c>
    </row>
    <row r="117" spans="4:11" ht="15.75" x14ac:dyDescent="0.25">
      <c r="D117" s="2">
        <v>116</v>
      </c>
      <c r="E117" s="6"/>
      <c r="F117" s="2"/>
      <c r="G117" s="2"/>
      <c r="H117" s="2"/>
      <c r="I117" s="2" t="str">
        <f t="shared" si="1"/>
        <v/>
      </c>
      <c r="J117" s="3"/>
      <c r="K117" s="5" t="str">
        <f>IFERROR(Tabla34[[#This Row],[USD]]/$B$1,"")</f>
        <v/>
      </c>
    </row>
    <row r="118" spans="4:11" ht="15.75" x14ac:dyDescent="0.25">
      <c r="D118" s="2">
        <v>117</v>
      </c>
      <c r="E118" s="6"/>
      <c r="F118" s="2"/>
      <c r="G118" s="2"/>
      <c r="H118" s="2"/>
      <c r="I118" s="2" t="str">
        <f t="shared" si="1"/>
        <v/>
      </c>
      <c r="J118" s="3"/>
      <c r="K118" s="5" t="str">
        <f>IFERROR(Tabla34[[#This Row],[USD]]/$B$1,"")</f>
        <v/>
      </c>
    </row>
    <row r="119" spans="4:11" ht="15.75" x14ac:dyDescent="0.25">
      <c r="D119" s="2">
        <v>118</v>
      </c>
      <c r="E119" s="6"/>
      <c r="F119" s="2"/>
      <c r="G119" s="2"/>
      <c r="H119" s="2"/>
      <c r="I119" s="2" t="str">
        <f t="shared" si="1"/>
        <v/>
      </c>
      <c r="J119" s="3"/>
      <c r="K119" s="5" t="str">
        <f>IFERROR(Tabla34[[#This Row],[USD]]/$B$1,"")</f>
        <v/>
      </c>
    </row>
    <row r="120" spans="4:11" ht="15.75" x14ac:dyDescent="0.25">
      <c r="D120" s="2">
        <v>119</v>
      </c>
      <c r="E120" s="6"/>
      <c r="F120" s="2"/>
      <c r="G120" s="2"/>
      <c r="H120" s="2"/>
      <c r="I120" s="2" t="str">
        <f t="shared" si="1"/>
        <v/>
      </c>
      <c r="J120" s="3"/>
      <c r="K120" s="5" t="str">
        <f>IFERROR(Tabla34[[#This Row],[USD]]/$B$1,"")</f>
        <v/>
      </c>
    </row>
    <row r="121" spans="4:11" ht="15.75" x14ac:dyDescent="0.25">
      <c r="D121" s="2">
        <v>120</v>
      </c>
      <c r="E121" s="6"/>
      <c r="F121" s="2"/>
      <c r="G121" s="2"/>
      <c r="H121" s="2"/>
      <c r="I121" s="2" t="str">
        <f t="shared" si="1"/>
        <v/>
      </c>
      <c r="J121" s="3"/>
      <c r="K121" s="5" t="str">
        <f>IFERROR(Tabla34[[#This Row],[USD]]/$B$1,"")</f>
        <v/>
      </c>
    </row>
    <row r="122" spans="4:11" ht="15.75" x14ac:dyDescent="0.25">
      <c r="D122" s="2">
        <v>121</v>
      </c>
      <c r="E122" s="6"/>
      <c r="F122" s="2"/>
      <c r="G122" s="2"/>
      <c r="H122" s="2"/>
      <c r="I122" s="2" t="str">
        <f t="shared" si="1"/>
        <v/>
      </c>
      <c r="J122" s="3"/>
      <c r="K122" s="5" t="str">
        <f>IFERROR(Tabla34[[#This Row],[USD]]/$B$1,"")</f>
        <v/>
      </c>
    </row>
    <row r="123" spans="4:11" ht="15.75" x14ac:dyDescent="0.25">
      <c r="D123" s="2">
        <v>122</v>
      </c>
      <c r="E123" s="6"/>
      <c r="F123" s="2"/>
      <c r="G123" s="2"/>
      <c r="H123" s="2"/>
      <c r="I123" s="2" t="str">
        <f t="shared" si="1"/>
        <v/>
      </c>
      <c r="J123" s="3"/>
      <c r="K123" s="5" t="str">
        <f>IFERROR(Tabla34[[#This Row],[USD]]/$B$1,"")</f>
        <v/>
      </c>
    </row>
    <row r="124" spans="4:11" ht="15.75" x14ac:dyDescent="0.25">
      <c r="D124" s="2">
        <v>123</v>
      </c>
      <c r="E124" s="6"/>
      <c r="F124" s="2"/>
      <c r="G124" s="2"/>
      <c r="H124" s="2"/>
      <c r="I124" s="2" t="str">
        <f t="shared" si="1"/>
        <v/>
      </c>
      <c r="J124" s="3"/>
      <c r="K124" s="5" t="str">
        <f>IFERROR(Tabla34[[#This Row],[USD]]/$B$1,"")</f>
        <v/>
      </c>
    </row>
    <row r="125" spans="4:11" ht="15.75" x14ac:dyDescent="0.25">
      <c r="D125" s="2">
        <v>124</v>
      </c>
      <c r="E125" s="6"/>
      <c r="F125" s="2"/>
      <c r="G125" s="2"/>
      <c r="H125" s="2"/>
      <c r="I125" s="2" t="str">
        <f t="shared" si="1"/>
        <v/>
      </c>
      <c r="J125" s="3"/>
      <c r="K125" s="5" t="str">
        <f>IFERROR(Tabla34[[#This Row],[USD]]/$B$1,"")</f>
        <v/>
      </c>
    </row>
    <row r="126" spans="4:11" ht="15.75" x14ac:dyDescent="0.25">
      <c r="D126" s="2">
        <v>125</v>
      </c>
      <c r="E126" s="6"/>
      <c r="F126" s="2"/>
      <c r="G126" s="2"/>
      <c r="H126" s="2"/>
      <c r="I126" s="2" t="str">
        <f t="shared" si="1"/>
        <v/>
      </c>
      <c r="J126" s="3"/>
      <c r="K126" s="5" t="str">
        <f>IFERROR(Tabla34[[#This Row],[USD]]/$B$1,"")</f>
        <v/>
      </c>
    </row>
    <row r="127" spans="4:11" ht="15.75" x14ac:dyDescent="0.25">
      <c r="D127" s="2">
        <v>126</v>
      </c>
      <c r="E127" s="6"/>
      <c r="F127" s="2"/>
      <c r="G127" s="2"/>
      <c r="H127" s="2"/>
      <c r="I127" s="2" t="str">
        <f t="shared" si="1"/>
        <v/>
      </c>
      <c r="J127" s="3"/>
      <c r="K127" s="5" t="str">
        <f>IFERROR(Tabla34[[#This Row],[USD]]/$B$1,"")</f>
        <v/>
      </c>
    </row>
    <row r="128" spans="4:11" ht="15.75" x14ac:dyDescent="0.25">
      <c r="D128" s="2">
        <v>127</v>
      </c>
      <c r="E128" s="6"/>
      <c r="F128" s="2"/>
      <c r="G128" s="2"/>
      <c r="H128" s="2"/>
      <c r="I128" s="2" t="str">
        <f t="shared" si="1"/>
        <v/>
      </c>
      <c r="J128" s="3"/>
      <c r="K128" s="5" t="str">
        <f>IFERROR(Tabla34[[#This Row],[USD]]/$B$1,"")</f>
        <v/>
      </c>
    </row>
    <row r="129" spans="4:11" ht="15.75" x14ac:dyDescent="0.25">
      <c r="D129" s="2">
        <v>128</v>
      </c>
      <c r="E129" s="6"/>
      <c r="F129" s="2"/>
      <c r="G129" s="2"/>
      <c r="H129" s="2"/>
      <c r="I129" s="2" t="str">
        <f t="shared" si="1"/>
        <v/>
      </c>
      <c r="J129" s="3"/>
      <c r="K129" s="5" t="str">
        <f>IFERROR(Tabla34[[#This Row],[USD]]/$B$1,"")</f>
        <v/>
      </c>
    </row>
    <row r="130" spans="4:11" ht="15.75" x14ac:dyDescent="0.25">
      <c r="D130" s="2">
        <v>129</v>
      </c>
      <c r="E130" s="6"/>
      <c r="F130" s="2"/>
      <c r="G130" s="2"/>
      <c r="H130" s="2"/>
      <c r="I130" s="2" t="str">
        <f t="shared" si="1"/>
        <v/>
      </c>
      <c r="J130" s="3"/>
      <c r="K130" s="5" t="str">
        <f>IFERROR(Tabla34[[#This Row],[USD]]/$B$1,"")</f>
        <v/>
      </c>
    </row>
    <row r="131" spans="4:11" ht="15.75" x14ac:dyDescent="0.25">
      <c r="D131" s="2">
        <v>130</v>
      </c>
      <c r="E131" s="6"/>
      <c r="F131" s="2"/>
      <c r="G131" s="2"/>
      <c r="H131" s="2"/>
      <c r="I131" s="2" t="str">
        <f t="shared" ref="I131:I194" si="2">IF(J131="","",IF(J131&gt;3,"Ganado",IF(J131&lt;-3,"Perdido","Break Even")))</f>
        <v/>
      </c>
      <c r="J131" s="3"/>
      <c r="K131" s="5" t="str">
        <f>IFERROR(Tabla34[[#This Row],[USD]]/$B$1,"")</f>
        <v/>
      </c>
    </row>
    <row r="132" spans="4:11" ht="15.75" x14ac:dyDescent="0.25">
      <c r="D132" s="2">
        <v>131</v>
      </c>
      <c r="E132" s="6"/>
      <c r="F132" s="2"/>
      <c r="G132" s="2"/>
      <c r="H132" s="2"/>
      <c r="I132" s="2" t="str">
        <f t="shared" si="2"/>
        <v/>
      </c>
      <c r="J132" s="3"/>
      <c r="K132" s="5" t="str">
        <f>IFERROR(Tabla34[[#This Row],[USD]]/$B$1,"")</f>
        <v/>
      </c>
    </row>
    <row r="133" spans="4:11" ht="15.75" x14ac:dyDescent="0.25">
      <c r="D133" s="2">
        <v>132</v>
      </c>
      <c r="E133" s="6"/>
      <c r="F133" s="2"/>
      <c r="G133" s="2"/>
      <c r="H133" s="2"/>
      <c r="I133" s="2" t="str">
        <f t="shared" si="2"/>
        <v/>
      </c>
      <c r="J133" s="3"/>
      <c r="K133" s="5" t="str">
        <f>IFERROR(Tabla34[[#This Row],[USD]]/$B$1,"")</f>
        <v/>
      </c>
    </row>
    <row r="134" spans="4:11" ht="15.75" x14ac:dyDescent="0.25">
      <c r="D134" s="2">
        <v>133</v>
      </c>
      <c r="E134" s="6"/>
      <c r="F134" s="2"/>
      <c r="G134" s="2"/>
      <c r="H134" s="2"/>
      <c r="I134" s="2" t="str">
        <f t="shared" si="2"/>
        <v/>
      </c>
      <c r="J134" s="3"/>
      <c r="K134" s="5" t="str">
        <f>IFERROR(Tabla34[[#This Row],[USD]]/$B$1,"")</f>
        <v/>
      </c>
    </row>
    <row r="135" spans="4:11" ht="15.75" x14ac:dyDescent="0.25">
      <c r="D135" s="2">
        <v>134</v>
      </c>
      <c r="E135" s="6"/>
      <c r="F135" s="2"/>
      <c r="G135" s="2"/>
      <c r="H135" s="2"/>
      <c r="I135" s="2" t="str">
        <f t="shared" si="2"/>
        <v/>
      </c>
      <c r="J135" s="3"/>
      <c r="K135" s="5" t="str">
        <f>IFERROR(Tabla34[[#This Row],[USD]]/$B$1,"")</f>
        <v/>
      </c>
    </row>
    <row r="136" spans="4:11" ht="15.75" x14ac:dyDescent="0.25">
      <c r="D136" s="2">
        <v>135</v>
      </c>
      <c r="E136" s="6"/>
      <c r="F136" s="2"/>
      <c r="G136" s="2"/>
      <c r="H136" s="2"/>
      <c r="I136" s="2" t="str">
        <f t="shared" si="2"/>
        <v/>
      </c>
      <c r="J136" s="3"/>
      <c r="K136" s="5" t="str">
        <f>IFERROR(Tabla34[[#This Row],[USD]]/$B$1,"")</f>
        <v/>
      </c>
    </row>
    <row r="137" spans="4:11" ht="15.75" x14ac:dyDescent="0.25">
      <c r="D137" s="2">
        <v>136</v>
      </c>
      <c r="E137" s="6"/>
      <c r="F137" s="2"/>
      <c r="G137" s="2"/>
      <c r="H137" s="2"/>
      <c r="I137" s="2" t="str">
        <f t="shared" si="2"/>
        <v/>
      </c>
      <c r="J137" s="3"/>
      <c r="K137" s="5" t="str">
        <f>IFERROR(Tabla34[[#This Row],[USD]]/$B$1,"")</f>
        <v/>
      </c>
    </row>
    <row r="138" spans="4:11" ht="15.75" x14ac:dyDescent="0.25">
      <c r="D138" s="2">
        <v>137</v>
      </c>
      <c r="E138" s="6"/>
      <c r="F138" s="2"/>
      <c r="G138" s="2"/>
      <c r="H138" s="2"/>
      <c r="I138" s="2" t="str">
        <f t="shared" si="2"/>
        <v/>
      </c>
      <c r="J138" s="3"/>
      <c r="K138" s="5" t="str">
        <f>IFERROR(Tabla34[[#This Row],[USD]]/$B$1,"")</f>
        <v/>
      </c>
    </row>
    <row r="139" spans="4:11" ht="15.75" x14ac:dyDescent="0.25">
      <c r="D139" s="2">
        <v>138</v>
      </c>
      <c r="E139" s="6"/>
      <c r="F139" s="2"/>
      <c r="G139" s="2"/>
      <c r="H139" s="2"/>
      <c r="I139" s="2" t="str">
        <f t="shared" si="2"/>
        <v/>
      </c>
      <c r="J139" s="3"/>
      <c r="K139" s="5" t="str">
        <f>IFERROR(Tabla34[[#This Row],[USD]]/$B$1,"")</f>
        <v/>
      </c>
    </row>
    <row r="140" spans="4:11" ht="15.75" x14ac:dyDescent="0.25">
      <c r="D140" s="2">
        <v>139</v>
      </c>
      <c r="E140" s="6"/>
      <c r="F140" s="2"/>
      <c r="G140" s="2"/>
      <c r="H140" s="2"/>
      <c r="I140" s="2" t="str">
        <f t="shared" si="2"/>
        <v/>
      </c>
      <c r="J140" s="3"/>
      <c r="K140" s="5" t="str">
        <f>IFERROR(Tabla34[[#This Row],[USD]]/$B$1,"")</f>
        <v/>
      </c>
    </row>
    <row r="141" spans="4:11" ht="15.75" x14ac:dyDescent="0.25">
      <c r="D141" s="2">
        <v>140</v>
      </c>
      <c r="E141" s="6"/>
      <c r="F141" s="2"/>
      <c r="G141" s="2"/>
      <c r="H141" s="2"/>
      <c r="I141" s="2" t="str">
        <f t="shared" si="2"/>
        <v/>
      </c>
      <c r="J141" s="3"/>
      <c r="K141" s="5" t="str">
        <f>IFERROR(Tabla34[[#This Row],[USD]]/$B$1,"")</f>
        <v/>
      </c>
    </row>
    <row r="142" spans="4:11" ht="15.75" x14ac:dyDescent="0.25">
      <c r="D142" s="2">
        <v>141</v>
      </c>
      <c r="E142" s="6"/>
      <c r="F142" s="2"/>
      <c r="G142" s="2"/>
      <c r="H142" s="2"/>
      <c r="I142" s="2" t="str">
        <f t="shared" si="2"/>
        <v/>
      </c>
      <c r="J142" s="3"/>
      <c r="K142" s="5" t="str">
        <f>IFERROR(Tabla34[[#This Row],[USD]]/$B$1,"")</f>
        <v/>
      </c>
    </row>
    <row r="143" spans="4:11" ht="15.75" x14ac:dyDescent="0.25">
      <c r="D143" s="2">
        <v>142</v>
      </c>
      <c r="E143" s="6"/>
      <c r="F143" s="2"/>
      <c r="G143" s="2"/>
      <c r="H143" s="2"/>
      <c r="I143" s="2" t="str">
        <f t="shared" si="2"/>
        <v/>
      </c>
      <c r="J143" s="3"/>
      <c r="K143" s="5" t="str">
        <f>IFERROR(Tabla34[[#This Row],[USD]]/$B$1,"")</f>
        <v/>
      </c>
    </row>
    <row r="144" spans="4:11" ht="15.75" x14ac:dyDescent="0.25">
      <c r="D144" s="2">
        <v>143</v>
      </c>
      <c r="E144" s="6"/>
      <c r="F144" s="2"/>
      <c r="G144" s="2"/>
      <c r="H144" s="2"/>
      <c r="I144" s="2" t="str">
        <f t="shared" si="2"/>
        <v/>
      </c>
      <c r="J144" s="3"/>
      <c r="K144" s="5" t="str">
        <f>IFERROR(Tabla34[[#This Row],[USD]]/$B$1,"")</f>
        <v/>
      </c>
    </row>
    <row r="145" spans="4:11" ht="15.75" x14ac:dyDescent="0.25">
      <c r="D145" s="2">
        <v>144</v>
      </c>
      <c r="E145" s="6"/>
      <c r="F145" s="2"/>
      <c r="G145" s="2"/>
      <c r="H145" s="2"/>
      <c r="I145" s="2" t="str">
        <f t="shared" si="2"/>
        <v/>
      </c>
      <c r="J145" s="3"/>
      <c r="K145" s="5" t="str">
        <f>IFERROR(Tabla34[[#This Row],[USD]]/$B$1,"")</f>
        <v/>
      </c>
    </row>
    <row r="146" spans="4:11" ht="15.75" x14ac:dyDescent="0.25">
      <c r="D146" s="2">
        <v>145</v>
      </c>
      <c r="E146" s="6"/>
      <c r="F146" s="2"/>
      <c r="G146" s="2"/>
      <c r="H146" s="2"/>
      <c r="I146" s="2" t="str">
        <f t="shared" si="2"/>
        <v/>
      </c>
      <c r="J146" s="3"/>
      <c r="K146" s="5" t="str">
        <f>IFERROR(Tabla34[[#This Row],[USD]]/$B$1,"")</f>
        <v/>
      </c>
    </row>
    <row r="147" spans="4:11" ht="15.75" x14ac:dyDescent="0.25">
      <c r="D147" s="2">
        <v>146</v>
      </c>
      <c r="E147" s="6"/>
      <c r="F147" s="2"/>
      <c r="G147" s="2"/>
      <c r="H147" s="2"/>
      <c r="I147" s="2" t="str">
        <f t="shared" si="2"/>
        <v/>
      </c>
      <c r="J147" s="3"/>
      <c r="K147" s="5" t="str">
        <f>IFERROR(Tabla34[[#This Row],[USD]]/$B$1,"")</f>
        <v/>
      </c>
    </row>
    <row r="148" spans="4:11" ht="15.75" x14ac:dyDescent="0.25">
      <c r="D148" s="2">
        <v>147</v>
      </c>
      <c r="E148" s="6"/>
      <c r="F148" s="2"/>
      <c r="G148" s="2"/>
      <c r="H148" s="2"/>
      <c r="I148" s="2" t="str">
        <f t="shared" si="2"/>
        <v/>
      </c>
      <c r="J148" s="3"/>
      <c r="K148" s="5" t="str">
        <f>IFERROR(Tabla34[[#This Row],[USD]]/$B$1,"")</f>
        <v/>
      </c>
    </row>
    <row r="149" spans="4:11" ht="15.75" x14ac:dyDescent="0.25">
      <c r="D149" s="2">
        <v>148</v>
      </c>
      <c r="E149" s="6"/>
      <c r="F149" s="2"/>
      <c r="G149" s="2"/>
      <c r="H149" s="2"/>
      <c r="I149" s="2" t="str">
        <f t="shared" si="2"/>
        <v/>
      </c>
      <c r="J149" s="3"/>
      <c r="K149" s="5" t="str">
        <f>IFERROR(Tabla34[[#This Row],[USD]]/$B$1,"")</f>
        <v/>
      </c>
    </row>
    <row r="150" spans="4:11" ht="15.75" x14ac:dyDescent="0.25">
      <c r="D150" s="2">
        <v>149</v>
      </c>
      <c r="E150" s="6"/>
      <c r="F150" s="2"/>
      <c r="G150" s="2"/>
      <c r="H150" s="2"/>
      <c r="I150" s="2" t="str">
        <f t="shared" si="2"/>
        <v/>
      </c>
      <c r="J150" s="3"/>
      <c r="K150" s="5" t="str">
        <f>IFERROR(Tabla34[[#This Row],[USD]]/$B$1,"")</f>
        <v/>
      </c>
    </row>
    <row r="151" spans="4:11" ht="15.75" x14ac:dyDescent="0.25">
      <c r="D151" s="2">
        <v>150</v>
      </c>
      <c r="E151" s="6"/>
      <c r="F151" s="2"/>
      <c r="G151" s="2"/>
      <c r="H151" s="2"/>
      <c r="I151" s="2" t="str">
        <f t="shared" si="2"/>
        <v/>
      </c>
      <c r="J151" s="3"/>
      <c r="K151" s="5" t="str">
        <f>IFERROR(Tabla34[[#This Row],[USD]]/$B$1,"")</f>
        <v/>
      </c>
    </row>
    <row r="152" spans="4:11" ht="15.75" x14ac:dyDescent="0.25">
      <c r="D152" s="2">
        <v>151</v>
      </c>
      <c r="E152" s="6"/>
      <c r="F152" s="2"/>
      <c r="G152" s="2"/>
      <c r="H152" s="2"/>
      <c r="I152" s="2" t="str">
        <f t="shared" si="2"/>
        <v/>
      </c>
      <c r="J152" s="3"/>
      <c r="K152" s="5" t="str">
        <f>IFERROR(Tabla34[[#This Row],[USD]]/$B$1,"")</f>
        <v/>
      </c>
    </row>
    <row r="153" spans="4:11" ht="15.75" x14ac:dyDescent="0.25">
      <c r="D153" s="2">
        <v>152</v>
      </c>
      <c r="E153" s="6"/>
      <c r="F153" s="2"/>
      <c r="G153" s="2"/>
      <c r="H153" s="2"/>
      <c r="I153" s="2" t="str">
        <f t="shared" si="2"/>
        <v/>
      </c>
      <c r="J153" s="3"/>
      <c r="K153" s="5" t="str">
        <f>IFERROR(Tabla34[[#This Row],[USD]]/$B$1,"")</f>
        <v/>
      </c>
    </row>
    <row r="154" spans="4:11" ht="15.75" x14ac:dyDescent="0.25">
      <c r="D154" s="2">
        <v>153</v>
      </c>
      <c r="E154" s="6"/>
      <c r="F154" s="2"/>
      <c r="G154" s="2"/>
      <c r="H154" s="2"/>
      <c r="I154" s="2" t="str">
        <f t="shared" si="2"/>
        <v/>
      </c>
      <c r="J154" s="3"/>
      <c r="K154" s="5" t="str">
        <f>IFERROR(Tabla34[[#This Row],[USD]]/$B$1,"")</f>
        <v/>
      </c>
    </row>
    <row r="155" spans="4:11" ht="15.75" x14ac:dyDescent="0.25">
      <c r="D155" s="2">
        <v>154</v>
      </c>
      <c r="E155" s="6"/>
      <c r="F155" s="2"/>
      <c r="G155" s="2"/>
      <c r="H155" s="2"/>
      <c r="I155" s="2" t="str">
        <f t="shared" si="2"/>
        <v/>
      </c>
      <c r="J155" s="3"/>
      <c r="K155" s="5" t="str">
        <f>IFERROR(Tabla34[[#This Row],[USD]]/$B$1,"")</f>
        <v/>
      </c>
    </row>
    <row r="156" spans="4:11" ht="15.75" x14ac:dyDescent="0.25">
      <c r="D156" s="2">
        <v>155</v>
      </c>
      <c r="E156" s="6"/>
      <c r="F156" s="2"/>
      <c r="G156" s="2"/>
      <c r="H156" s="2"/>
      <c r="I156" s="2" t="str">
        <f t="shared" si="2"/>
        <v/>
      </c>
      <c r="J156" s="3"/>
      <c r="K156" s="5" t="str">
        <f>IFERROR(Tabla34[[#This Row],[USD]]/$B$1,"")</f>
        <v/>
      </c>
    </row>
    <row r="157" spans="4:11" ht="15.75" x14ac:dyDescent="0.25">
      <c r="D157" s="2">
        <v>156</v>
      </c>
      <c r="E157" s="6"/>
      <c r="F157" s="2"/>
      <c r="G157" s="2"/>
      <c r="H157" s="2"/>
      <c r="I157" s="2" t="str">
        <f t="shared" si="2"/>
        <v/>
      </c>
      <c r="J157" s="3"/>
      <c r="K157" s="5" t="str">
        <f>IFERROR(Tabla34[[#This Row],[USD]]/$B$1,"")</f>
        <v/>
      </c>
    </row>
    <row r="158" spans="4:11" ht="15.75" x14ac:dyDescent="0.25">
      <c r="D158" s="2">
        <v>157</v>
      </c>
      <c r="E158" s="6"/>
      <c r="F158" s="2"/>
      <c r="G158" s="2"/>
      <c r="H158" s="2"/>
      <c r="I158" s="2" t="str">
        <f t="shared" si="2"/>
        <v/>
      </c>
      <c r="J158" s="3"/>
      <c r="K158" s="5" t="str">
        <f>IFERROR(Tabla34[[#This Row],[USD]]/$B$1,"")</f>
        <v/>
      </c>
    </row>
    <row r="159" spans="4:11" ht="15.75" x14ac:dyDescent="0.25">
      <c r="D159" s="2">
        <v>158</v>
      </c>
      <c r="E159" s="6"/>
      <c r="F159" s="2"/>
      <c r="G159" s="2"/>
      <c r="H159" s="2"/>
      <c r="I159" s="2" t="str">
        <f t="shared" si="2"/>
        <v/>
      </c>
      <c r="J159" s="3"/>
      <c r="K159" s="5" t="str">
        <f>IFERROR(Tabla34[[#This Row],[USD]]/$B$1,"")</f>
        <v/>
      </c>
    </row>
    <row r="160" spans="4:11" ht="15.75" x14ac:dyDescent="0.25">
      <c r="D160" s="2">
        <v>159</v>
      </c>
      <c r="E160" s="6"/>
      <c r="F160" s="2"/>
      <c r="G160" s="2"/>
      <c r="H160" s="2"/>
      <c r="I160" s="2" t="str">
        <f t="shared" si="2"/>
        <v/>
      </c>
      <c r="J160" s="3"/>
      <c r="K160" s="5" t="str">
        <f>IFERROR(Tabla34[[#This Row],[USD]]/$B$1,"")</f>
        <v/>
      </c>
    </row>
    <row r="161" spans="4:11" ht="15.75" x14ac:dyDescent="0.25">
      <c r="D161" s="2">
        <v>160</v>
      </c>
      <c r="E161" s="6"/>
      <c r="F161" s="2"/>
      <c r="G161" s="2"/>
      <c r="H161" s="2"/>
      <c r="I161" s="2" t="str">
        <f t="shared" si="2"/>
        <v/>
      </c>
      <c r="J161" s="3"/>
      <c r="K161" s="5" t="str">
        <f>IFERROR(Tabla34[[#This Row],[USD]]/$B$1,"")</f>
        <v/>
      </c>
    </row>
    <row r="162" spans="4:11" ht="15.75" x14ac:dyDescent="0.25">
      <c r="D162" s="2">
        <v>161</v>
      </c>
      <c r="E162" s="6"/>
      <c r="F162" s="2"/>
      <c r="G162" s="2"/>
      <c r="H162" s="2"/>
      <c r="I162" s="2" t="str">
        <f t="shared" si="2"/>
        <v/>
      </c>
      <c r="J162" s="3"/>
      <c r="K162" s="5" t="str">
        <f>IFERROR(Tabla34[[#This Row],[USD]]/$B$1,"")</f>
        <v/>
      </c>
    </row>
    <row r="163" spans="4:11" ht="15.75" x14ac:dyDescent="0.25">
      <c r="D163" s="2">
        <v>162</v>
      </c>
      <c r="E163" s="6"/>
      <c r="F163" s="2"/>
      <c r="G163" s="2"/>
      <c r="H163" s="2"/>
      <c r="I163" s="2" t="str">
        <f t="shared" si="2"/>
        <v/>
      </c>
      <c r="J163" s="3"/>
      <c r="K163" s="5" t="str">
        <f>IFERROR(Tabla34[[#This Row],[USD]]/$B$1,"")</f>
        <v/>
      </c>
    </row>
    <row r="164" spans="4:11" ht="15.75" x14ac:dyDescent="0.25">
      <c r="D164" s="2">
        <v>163</v>
      </c>
      <c r="E164" s="6"/>
      <c r="F164" s="2"/>
      <c r="G164" s="2"/>
      <c r="H164" s="2"/>
      <c r="I164" s="2" t="str">
        <f t="shared" si="2"/>
        <v/>
      </c>
      <c r="J164" s="3"/>
      <c r="K164" s="5" t="str">
        <f>IFERROR(Tabla34[[#This Row],[USD]]/$B$1,"")</f>
        <v/>
      </c>
    </row>
    <row r="165" spans="4:11" ht="15.75" x14ac:dyDescent="0.25">
      <c r="D165" s="2">
        <v>164</v>
      </c>
      <c r="E165" s="6"/>
      <c r="F165" s="2"/>
      <c r="G165" s="2"/>
      <c r="H165" s="2"/>
      <c r="I165" s="2" t="str">
        <f t="shared" si="2"/>
        <v/>
      </c>
      <c r="J165" s="3"/>
      <c r="K165" s="5" t="str">
        <f>IFERROR(Tabla34[[#This Row],[USD]]/$B$1,"")</f>
        <v/>
      </c>
    </row>
    <row r="166" spans="4:11" ht="15.75" x14ac:dyDescent="0.25">
      <c r="D166" s="2">
        <v>165</v>
      </c>
      <c r="E166" s="6"/>
      <c r="F166" s="2"/>
      <c r="G166" s="2"/>
      <c r="H166" s="2"/>
      <c r="I166" s="2" t="str">
        <f t="shared" si="2"/>
        <v/>
      </c>
      <c r="J166" s="3"/>
      <c r="K166" s="5" t="str">
        <f>IFERROR(Tabla34[[#This Row],[USD]]/$B$1,"")</f>
        <v/>
      </c>
    </row>
    <row r="167" spans="4:11" ht="15.75" x14ac:dyDescent="0.25">
      <c r="D167" s="2">
        <v>166</v>
      </c>
      <c r="E167" s="6"/>
      <c r="F167" s="2"/>
      <c r="G167" s="2"/>
      <c r="H167" s="2"/>
      <c r="I167" s="2" t="str">
        <f t="shared" si="2"/>
        <v/>
      </c>
      <c r="J167" s="3"/>
      <c r="K167" s="5" t="str">
        <f>IFERROR(Tabla34[[#This Row],[USD]]/$B$1,"")</f>
        <v/>
      </c>
    </row>
    <row r="168" spans="4:11" ht="15.75" x14ac:dyDescent="0.25">
      <c r="D168" s="2">
        <v>167</v>
      </c>
      <c r="E168" s="6"/>
      <c r="F168" s="2"/>
      <c r="G168" s="2"/>
      <c r="H168" s="2"/>
      <c r="I168" s="2" t="str">
        <f t="shared" si="2"/>
        <v/>
      </c>
      <c r="J168" s="3"/>
      <c r="K168" s="5" t="str">
        <f>IFERROR(Tabla34[[#This Row],[USD]]/$B$1,"")</f>
        <v/>
      </c>
    </row>
    <row r="169" spans="4:11" ht="15.75" x14ac:dyDescent="0.25">
      <c r="D169" s="2">
        <v>168</v>
      </c>
      <c r="E169" s="6"/>
      <c r="F169" s="2"/>
      <c r="G169" s="2"/>
      <c r="H169" s="2"/>
      <c r="I169" s="2" t="str">
        <f t="shared" si="2"/>
        <v/>
      </c>
      <c r="J169" s="3"/>
      <c r="K169" s="5" t="str">
        <f>IFERROR(Tabla34[[#This Row],[USD]]/$B$1,"")</f>
        <v/>
      </c>
    </row>
    <row r="170" spans="4:11" ht="15.75" x14ac:dyDescent="0.25">
      <c r="D170" s="2">
        <v>169</v>
      </c>
      <c r="E170" s="6"/>
      <c r="F170" s="2"/>
      <c r="G170" s="2"/>
      <c r="H170" s="2"/>
      <c r="I170" s="2" t="str">
        <f t="shared" si="2"/>
        <v/>
      </c>
      <c r="J170" s="3"/>
      <c r="K170" s="5" t="str">
        <f>IFERROR(Tabla34[[#This Row],[USD]]/$B$1,"")</f>
        <v/>
      </c>
    </row>
    <row r="171" spans="4:11" ht="15.75" x14ac:dyDescent="0.25">
      <c r="D171" s="2">
        <v>170</v>
      </c>
      <c r="E171" s="6"/>
      <c r="F171" s="2"/>
      <c r="G171" s="2"/>
      <c r="H171" s="2"/>
      <c r="I171" s="2" t="str">
        <f t="shared" si="2"/>
        <v/>
      </c>
      <c r="J171" s="3"/>
      <c r="K171" s="5" t="str">
        <f>IFERROR(Tabla34[[#This Row],[USD]]/$B$1,"")</f>
        <v/>
      </c>
    </row>
    <row r="172" spans="4:11" ht="15.75" x14ac:dyDescent="0.25">
      <c r="D172" s="2">
        <v>171</v>
      </c>
      <c r="E172" s="6"/>
      <c r="F172" s="2"/>
      <c r="G172" s="2"/>
      <c r="H172" s="2"/>
      <c r="I172" s="2" t="str">
        <f t="shared" si="2"/>
        <v/>
      </c>
      <c r="J172" s="3"/>
      <c r="K172" s="5" t="str">
        <f>IFERROR(Tabla34[[#This Row],[USD]]/$B$1,"")</f>
        <v/>
      </c>
    </row>
    <row r="173" spans="4:11" ht="15.75" x14ac:dyDescent="0.25">
      <c r="D173" s="2">
        <v>172</v>
      </c>
      <c r="E173" s="6"/>
      <c r="F173" s="2"/>
      <c r="G173" s="2"/>
      <c r="H173" s="2"/>
      <c r="I173" s="2" t="str">
        <f t="shared" si="2"/>
        <v/>
      </c>
      <c r="J173" s="3"/>
      <c r="K173" s="5" t="str">
        <f>IFERROR(Tabla34[[#This Row],[USD]]/$B$1,"")</f>
        <v/>
      </c>
    </row>
    <row r="174" spans="4:11" ht="15.75" x14ac:dyDescent="0.25">
      <c r="D174" s="2">
        <v>173</v>
      </c>
      <c r="E174" s="6"/>
      <c r="F174" s="2"/>
      <c r="G174" s="2"/>
      <c r="H174" s="2"/>
      <c r="I174" s="2" t="str">
        <f t="shared" si="2"/>
        <v/>
      </c>
      <c r="J174" s="3"/>
      <c r="K174" s="5" t="str">
        <f>IFERROR(Tabla34[[#This Row],[USD]]/$B$1,"")</f>
        <v/>
      </c>
    </row>
    <row r="175" spans="4:11" ht="15.75" x14ac:dyDescent="0.25">
      <c r="D175" s="2">
        <v>174</v>
      </c>
      <c r="E175" s="6"/>
      <c r="F175" s="2"/>
      <c r="G175" s="2"/>
      <c r="H175" s="2"/>
      <c r="I175" s="2" t="str">
        <f t="shared" si="2"/>
        <v/>
      </c>
      <c r="J175" s="3"/>
      <c r="K175" s="5" t="str">
        <f>IFERROR(Tabla34[[#This Row],[USD]]/$B$1,"")</f>
        <v/>
      </c>
    </row>
    <row r="176" spans="4:11" ht="15.75" x14ac:dyDescent="0.25">
      <c r="D176" s="2">
        <v>175</v>
      </c>
      <c r="E176" s="6"/>
      <c r="F176" s="2"/>
      <c r="G176" s="2"/>
      <c r="H176" s="2"/>
      <c r="I176" s="2" t="str">
        <f t="shared" si="2"/>
        <v/>
      </c>
      <c r="J176" s="3"/>
      <c r="K176" s="5" t="str">
        <f>IFERROR(Tabla34[[#This Row],[USD]]/$B$1,"")</f>
        <v/>
      </c>
    </row>
    <row r="177" spans="4:11" ht="15.75" x14ac:dyDescent="0.25">
      <c r="D177" s="2">
        <v>176</v>
      </c>
      <c r="E177" s="6"/>
      <c r="F177" s="2"/>
      <c r="G177" s="2"/>
      <c r="H177" s="2"/>
      <c r="I177" s="2" t="str">
        <f t="shared" si="2"/>
        <v/>
      </c>
      <c r="J177" s="3"/>
      <c r="K177" s="5" t="str">
        <f>IFERROR(Tabla34[[#This Row],[USD]]/$B$1,"")</f>
        <v/>
      </c>
    </row>
    <row r="178" spans="4:11" ht="15.75" x14ac:dyDescent="0.25">
      <c r="D178" s="2">
        <v>177</v>
      </c>
      <c r="E178" s="6"/>
      <c r="F178" s="2"/>
      <c r="G178" s="2"/>
      <c r="H178" s="2"/>
      <c r="I178" s="2" t="str">
        <f t="shared" si="2"/>
        <v/>
      </c>
      <c r="J178" s="3"/>
      <c r="K178" s="5" t="str">
        <f>IFERROR(Tabla34[[#This Row],[USD]]/$B$1,"")</f>
        <v/>
      </c>
    </row>
    <row r="179" spans="4:11" ht="15.75" x14ac:dyDescent="0.25">
      <c r="D179" s="2">
        <v>178</v>
      </c>
      <c r="E179" s="6"/>
      <c r="F179" s="2"/>
      <c r="G179" s="2"/>
      <c r="H179" s="2"/>
      <c r="I179" s="2" t="str">
        <f t="shared" si="2"/>
        <v/>
      </c>
      <c r="J179" s="3"/>
      <c r="K179" s="5" t="str">
        <f>IFERROR(Tabla34[[#This Row],[USD]]/$B$1,"")</f>
        <v/>
      </c>
    </row>
    <row r="180" spans="4:11" ht="15.75" x14ac:dyDescent="0.25">
      <c r="D180" s="2">
        <v>179</v>
      </c>
      <c r="E180" s="6"/>
      <c r="F180" s="2"/>
      <c r="G180" s="2"/>
      <c r="H180" s="2"/>
      <c r="I180" s="2" t="str">
        <f t="shared" si="2"/>
        <v/>
      </c>
      <c r="J180" s="3"/>
      <c r="K180" s="5" t="str">
        <f>IFERROR(Tabla34[[#This Row],[USD]]/$B$1,"")</f>
        <v/>
      </c>
    </row>
    <row r="181" spans="4:11" ht="15.75" x14ac:dyDescent="0.25">
      <c r="D181" s="2">
        <v>180</v>
      </c>
      <c r="E181" s="6"/>
      <c r="F181" s="2"/>
      <c r="G181" s="2"/>
      <c r="H181" s="2"/>
      <c r="I181" s="2" t="str">
        <f t="shared" si="2"/>
        <v/>
      </c>
      <c r="J181" s="3"/>
      <c r="K181" s="5" t="str">
        <f>IFERROR(Tabla34[[#This Row],[USD]]/$B$1,"")</f>
        <v/>
      </c>
    </row>
    <row r="182" spans="4:11" ht="15.75" x14ac:dyDescent="0.25">
      <c r="D182" s="2">
        <v>181</v>
      </c>
      <c r="E182" s="6"/>
      <c r="F182" s="2"/>
      <c r="G182" s="2"/>
      <c r="H182" s="2"/>
      <c r="I182" s="2" t="str">
        <f t="shared" si="2"/>
        <v/>
      </c>
      <c r="J182" s="3"/>
      <c r="K182" s="5" t="str">
        <f>IFERROR(Tabla34[[#This Row],[USD]]/$B$1,"")</f>
        <v/>
      </c>
    </row>
    <row r="183" spans="4:11" ht="15.75" x14ac:dyDescent="0.25">
      <c r="D183" s="2">
        <v>182</v>
      </c>
      <c r="E183" s="6"/>
      <c r="F183" s="2"/>
      <c r="G183" s="2"/>
      <c r="H183" s="2"/>
      <c r="I183" s="2" t="str">
        <f t="shared" si="2"/>
        <v/>
      </c>
      <c r="J183" s="3"/>
      <c r="K183" s="5" t="str">
        <f>IFERROR(Tabla34[[#This Row],[USD]]/$B$1,"")</f>
        <v/>
      </c>
    </row>
    <row r="184" spans="4:11" ht="15.75" x14ac:dyDescent="0.25">
      <c r="D184" s="2">
        <v>183</v>
      </c>
      <c r="E184" s="6"/>
      <c r="F184" s="2"/>
      <c r="G184" s="2"/>
      <c r="H184" s="2"/>
      <c r="I184" s="2" t="str">
        <f t="shared" si="2"/>
        <v/>
      </c>
      <c r="J184" s="3"/>
      <c r="K184" s="5" t="str">
        <f>IFERROR(Tabla34[[#This Row],[USD]]/$B$1,"")</f>
        <v/>
      </c>
    </row>
    <row r="185" spans="4:11" ht="15.75" x14ac:dyDescent="0.25">
      <c r="D185" s="2">
        <v>184</v>
      </c>
      <c r="E185" s="6"/>
      <c r="F185" s="2"/>
      <c r="G185" s="2"/>
      <c r="H185" s="2"/>
      <c r="I185" s="2" t="str">
        <f t="shared" si="2"/>
        <v/>
      </c>
      <c r="J185" s="3"/>
      <c r="K185" s="5" t="str">
        <f>IFERROR(Tabla34[[#This Row],[USD]]/$B$1,"")</f>
        <v/>
      </c>
    </row>
    <row r="186" spans="4:11" ht="15.75" x14ac:dyDescent="0.25">
      <c r="D186" s="2">
        <v>185</v>
      </c>
      <c r="E186" s="6"/>
      <c r="F186" s="2"/>
      <c r="G186" s="2"/>
      <c r="H186" s="2"/>
      <c r="I186" s="2" t="str">
        <f t="shared" si="2"/>
        <v/>
      </c>
      <c r="J186" s="3"/>
      <c r="K186" s="5" t="str">
        <f>IFERROR(Tabla34[[#This Row],[USD]]/$B$1,"")</f>
        <v/>
      </c>
    </row>
    <row r="187" spans="4:11" ht="15.75" x14ac:dyDescent="0.25">
      <c r="D187" s="2">
        <v>186</v>
      </c>
      <c r="E187" s="6"/>
      <c r="F187" s="2"/>
      <c r="G187" s="2"/>
      <c r="H187" s="2"/>
      <c r="I187" s="2" t="str">
        <f t="shared" si="2"/>
        <v/>
      </c>
      <c r="J187" s="3"/>
      <c r="K187" s="5" t="str">
        <f>IFERROR(Tabla34[[#This Row],[USD]]/$B$1,"")</f>
        <v/>
      </c>
    </row>
    <row r="188" spans="4:11" ht="15.75" x14ac:dyDescent="0.25">
      <c r="D188" s="2">
        <v>187</v>
      </c>
      <c r="E188" s="6"/>
      <c r="F188" s="2"/>
      <c r="G188" s="2"/>
      <c r="H188" s="2"/>
      <c r="I188" s="2" t="str">
        <f t="shared" si="2"/>
        <v/>
      </c>
      <c r="J188" s="3"/>
      <c r="K188" s="5" t="str">
        <f>IFERROR(Tabla34[[#This Row],[USD]]/$B$1,"")</f>
        <v/>
      </c>
    </row>
    <row r="189" spans="4:11" ht="15.75" x14ac:dyDescent="0.25">
      <c r="D189" s="2">
        <v>188</v>
      </c>
      <c r="E189" s="6"/>
      <c r="F189" s="2"/>
      <c r="G189" s="2"/>
      <c r="H189" s="2"/>
      <c r="I189" s="2" t="str">
        <f t="shared" si="2"/>
        <v/>
      </c>
      <c r="J189" s="3"/>
      <c r="K189" s="5" t="str">
        <f>IFERROR(Tabla34[[#This Row],[USD]]/$B$1,"")</f>
        <v/>
      </c>
    </row>
    <row r="190" spans="4:11" ht="15.75" x14ac:dyDescent="0.25">
      <c r="D190" s="2">
        <v>189</v>
      </c>
      <c r="E190" s="6"/>
      <c r="F190" s="2"/>
      <c r="G190" s="2"/>
      <c r="H190" s="2"/>
      <c r="I190" s="2" t="str">
        <f t="shared" si="2"/>
        <v/>
      </c>
      <c r="J190" s="3"/>
      <c r="K190" s="5" t="str">
        <f>IFERROR(Tabla34[[#This Row],[USD]]/$B$1,"")</f>
        <v/>
      </c>
    </row>
    <row r="191" spans="4:11" ht="15.75" x14ac:dyDescent="0.25">
      <c r="D191" s="2">
        <v>190</v>
      </c>
      <c r="E191" s="6"/>
      <c r="F191" s="2"/>
      <c r="G191" s="2"/>
      <c r="H191" s="2"/>
      <c r="I191" s="2" t="str">
        <f t="shared" si="2"/>
        <v/>
      </c>
      <c r="J191" s="3"/>
      <c r="K191" s="5" t="str">
        <f>IFERROR(Tabla34[[#This Row],[USD]]/$B$1,"")</f>
        <v/>
      </c>
    </row>
    <row r="192" spans="4:11" ht="15.75" x14ac:dyDescent="0.25">
      <c r="D192" s="2">
        <v>191</v>
      </c>
      <c r="E192" s="6"/>
      <c r="F192" s="2"/>
      <c r="G192" s="2"/>
      <c r="H192" s="2"/>
      <c r="I192" s="2" t="str">
        <f t="shared" si="2"/>
        <v/>
      </c>
      <c r="J192" s="3"/>
      <c r="K192" s="5" t="str">
        <f>IFERROR(Tabla34[[#This Row],[USD]]/$B$1,"")</f>
        <v/>
      </c>
    </row>
    <row r="193" spans="4:11" ht="15.75" x14ac:dyDescent="0.25">
      <c r="D193" s="2">
        <v>192</v>
      </c>
      <c r="E193" s="6"/>
      <c r="F193" s="2"/>
      <c r="G193" s="2"/>
      <c r="H193" s="2"/>
      <c r="I193" s="2" t="str">
        <f t="shared" si="2"/>
        <v/>
      </c>
      <c r="J193" s="3"/>
      <c r="K193" s="5" t="str">
        <f>IFERROR(Tabla34[[#This Row],[USD]]/$B$1,"")</f>
        <v/>
      </c>
    </row>
    <row r="194" spans="4:11" ht="15.75" x14ac:dyDescent="0.25">
      <c r="D194" s="2">
        <v>193</v>
      </c>
      <c r="E194" s="6"/>
      <c r="F194" s="2"/>
      <c r="G194" s="2"/>
      <c r="H194" s="2"/>
      <c r="I194" s="2" t="str">
        <f t="shared" si="2"/>
        <v/>
      </c>
      <c r="J194" s="3"/>
      <c r="K194" s="5" t="str">
        <f>IFERROR(Tabla34[[#This Row],[USD]]/$B$1,"")</f>
        <v/>
      </c>
    </row>
    <row r="195" spans="4:11" ht="15.75" x14ac:dyDescent="0.25">
      <c r="D195" s="2">
        <v>194</v>
      </c>
      <c r="E195" s="6"/>
      <c r="F195" s="2"/>
      <c r="G195" s="2"/>
      <c r="H195" s="2"/>
      <c r="I195" s="2" t="str">
        <f t="shared" ref="I195:I258" si="3">IF(J195="","",IF(J195&gt;3,"Ganado",IF(J195&lt;-3,"Perdido","Break Even")))</f>
        <v/>
      </c>
      <c r="J195" s="3"/>
      <c r="K195" s="5" t="str">
        <f>IFERROR(Tabla34[[#This Row],[USD]]/$B$1,"")</f>
        <v/>
      </c>
    </row>
    <row r="196" spans="4:11" ht="15.75" x14ac:dyDescent="0.25">
      <c r="D196" s="2">
        <v>195</v>
      </c>
      <c r="E196" s="6"/>
      <c r="F196" s="2"/>
      <c r="G196" s="2"/>
      <c r="H196" s="2"/>
      <c r="I196" s="2" t="str">
        <f t="shared" si="3"/>
        <v/>
      </c>
      <c r="J196" s="3"/>
      <c r="K196" s="5" t="str">
        <f>IFERROR(Tabla34[[#This Row],[USD]]/$B$1,"")</f>
        <v/>
      </c>
    </row>
    <row r="197" spans="4:11" ht="15.75" x14ac:dyDescent="0.25">
      <c r="D197" s="2">
        <v>196</v>
      </c>
      <c r="E197" s="6"/>
      <c r="F197" s="2"/>
      <c r="G197" s="2"/>
      <c r="H197" s="2"/>
      <c r="I197" s="2" t="str">
        <f t="shared" si="3"/>
        <v/>
      </c>
      <c r="J197" s="3"/>
      <c r="K197" s="5" t="str">
        <f>IFERROR(Tabla34[[#This Row],[USD]]/$B$1,"")</f>
        <v/>
      </c>
    </row>
    <row r="198" spans="4:11" ht="15.75" x14ac:dyDescent="0.25">
      <c r="D198" s="2">
        <v>197</v>
      </c>
      <c r="E198" s="6"/>
      <c r="F198" s="2"/>
      <c r="G198" s="2"/>
      <c r="H198" s="2"/>
      <c r="I198" s="2" t="str">
        <f t="shared" si="3"/>
        <v/>
      </c>
      <c r="J198" s="3"/>
      <c r="K198" s="5" t="str">
        <f>IFERROR(Tabla34[[#This Row],[USD]]/$B$1,"")</f>
        <v/>
      </c>
    </row>
    <row r="199" spans="4:11" ht="15.75" x14ac:dyDescent="0.25">
      <c r="D199" s="2">
        <v>198</v>
      </c>
      <c r="E199" s="6"/>
      <c r="F199" s="2"/>
      <c r="G199" s="2"/>
      <c r="H199" s="2"/>
      <c r="I199" s="2" t="str">
        <f t="shared" si="3"/>
        <v/>
      </c>
      <c r="J199" s="3"/>
      <c r="K199" s="5" t="str">
        <f>IFERROR(Tabla34[[#This Row],[USD]]/$B$1,"")</f>
        <v/>
      </c>
    </row>
    <row r="200" spans="4:11" ht="15.75" x14ac:dyDescent="0.25">
      <c r="D200" s="2">
        <v>199</v>
      </c>
      <c r="E200" s="6"/>
      <c r="F200" s="2"/>
      <c r="G200" s="2"/>
      <c r="H200" s="2"/>
      <c r="I200" s="2" t="str">
        <f t="shared" si="3"/>
        <v/>
      </c>
      <c r="J200" s="3"/>
      <c r="K200" s="5" t="str">
        <f>IFERROR(Tabla34[[#This Row],[USD]]/$B$1,"")</f>
        <v/>
      </c>
    </row>
    <row r="201" spans="4:11" ht="15.75" x14ac:dyDescent="0.25">
      <c r="D201" s="2">
        <v>200</v>
      </c>
      <c r="E201" s="6"/>
      <c r="F201" s="2"/>
      <c r="G201" s="2"/>
      <c r="H201" s="2"/>
      <c r="I201" s="2" t="str">
        <f t="shared" si="3"/>
        <v/>
      </c>
      <c r="J201" s="3"/>
      <c r="K201" s="5" t="str">
        <f>IFERROR(Tabla34[[#This Row],[USD]]/$B$1,"")</f>
        <v/>
      </c>
    </row>
    <row r="202" spans="4:11" ht="15.75" x14ac:dyDescent="0.25">
      <c r="D202" s="2">
        <v>201</v>
      </c>
      <c r="E202" s="6"/>
      <c r="F202" s="2"/>
      <c r="G202" s="2"/>
      <c r="H202" s="2"/>
      <c r="I202" s="2" t="str">
        <f t="shared" si="3"/>
        <v/>
      </c>
      <c r="J202" s="3"/>
      <c r="K202" s="5" t="str">
        <f>IFERROR(Tabla34[[#This Row],[USD]]/$B$1,"")</f>
        <v/>
      </c>
    </row>
    <row r="203" spans="4:11" ht="15.75" x14ac:dyDescent="0.25">
      <c r="D203" s="2">
        <v>202</v>
      </c>
      <c r="E203" s="6"/>
      <c r="F203" s="2"/>
      <c r="G203" s="2"/>
      <c r="H203" s="2"/>
      <c r="I203" s="2" t="str">
        <f t="shared" si="3"/>
        <v/>
      </c>
      <c r="J203" s="3"/>
      <c r="K203" s="5" t="str">
        <f>IFERROR(Tabla34[[#This Row],[USD]]/$B$1,"")</f>
        <v/>
      </c>
    </row>
    <row r="204" spans="4:11" ht="15.75" x14ac:dyDescent="0.25">
      <c r="D204" s="2">
        <v>203</v>
      </c>
      <c r="E204" s="6"/>
      <c r="F204" s="2"/>
      <c r="G204" s="2"/>
      <c r="H204" s="2"/>
      <c r="I204" s="2" t="str">
        <f t="shared" si="3"/>
        <v/>
      </c>
      <c r="J204" s="3"/>
      <c r="K204" s="5" t="str">
        <f>IFERROR(Tabla34[[#This Row],[USD]]/$B$1,"")</f>
        <v/>
      </c>
    </row>
    <row r="205" spans="4:11" ht="15.75" x14ac:dyDescent="0.25">
      <c r="D205" s="2">
        <v>204</v>
      </c>
      <c r="E205" s="6"/>
      <c r="F205" s="2"/>
      <c r="G205" s="2"/>
      <c r="H205" s="2"/>
      <c r="I205" s="2" t="str">
        <f t="shared" si="3"/>
        <v/>
      </c>
      <c r="J205" s="3"/>
      <c r="K205" s="5" t="str">
        <f>IFERROR(Tabla34[[#This Row],[USD]]/$B$1,"")</f>
        <v/>
      </c>
    </row>
    <row r="206" spans="4:11" ht="15.75" x14ac:dyDescent="0.25">
      <c r="D206" s="2">
        <v>205</v>
      </c>
      <c r="E206" s="6"/>
      <c r="F206" s="2"/>
      <c r="G206" s="2"/>
      <c r="H206" s="2"/>
      <c r="I206" s="2" t="str">
        <f t="shared" si="3"/>
        <v/>
      </c>
      <c r="J206" s="3"/>
      <c r="K206" s="5" t="str">
        <f>IFERROR(Tabla34[[#This Row],[USD]]/$B$1,"")</f>
        <v/>
      </c>
    </row>
    <row r="207" spans="4:11" ht="15.75" x14ac:dyDescent="0.25">
      <c r="D207" s="2">
        <v>206</v>
      </c>
      <c r="E207" s="6"/>
      <c r="F207" s="2"/>
      <c r="G207" s="2"/>
      <c r="H207" s="2"/>
      <c r="I207" s="2" t="str">
        <f t="shared" si="3"/>
        <v/>
      </c>
      <c r="J207" s="3"/>
      <c r="K207" s="5" t="str">
        <f>IFERROR(Tabla34[[#This Row],[USD]]/$B$1,"")</f>
        <v/>
      </c>
    </row>
    <row r="208" spans="4:11" ht="15.75" x14ac:dyDescent="0.25">
      <c r="D208" s="2">
        <v>207</v>
      </c>
      <c r="E208" s="6"/>
      <c r="F208" s="2"/>
      <c r="G208" s="2"/>
      <c r="H208" s="2"/>
      <c r="I208" s="2" t="str">
        <f t="shared" si="3"/>
        <v/>
      </c>
      <c r="J208" s="3"/>
      <c r="K208" s="5" t="str">
        <f>IFERROR(Tabla34[[#This Row],[USD]]/$B$1,"")</f>
        <v/>
      </c>
    </row>
    <row r="209" spans="4:11" ht="15.75" x14ac:dyDescent="0.25">
      <c r="D209" s="2">
        <v>208</v>
      </c>
      <c r="E209" s="6"/>
      <c r="F209" s="2"/>
      <c r="G209" s="2"/>
      <c r="H209" s="2"/>
      <c r="I209" s="2" t="str">
        <f t="shared" si="3"/>
        <v/>
      </c>
      <c r="J209" s="3"/>
      <c r="K209" s="5" t="str">
        <f>IFERROR(Tabla34[[#This Row],[USD]]/$B$1,"")</f>
        <v/>
      </c>
    </row>
    <row r="210" spans="4:11" ht="15.75" x14ac:dyDescent="0.25">
      <c r="D210" s="2">
        <v>209</v>
      </c>
      <c r="E210" s="6"/>
      <c r="F210" s="2"/>
      <c r="G210" s="2"/>
      <c r="H210" s="2"/>
      <c r="I210" s="2" t="str">
        <f t="shared" si="3"/>
        <v/>
      </c>
      <c r="J210" s="3"/>
      <c r="K210" s="5" t="str">
        <f>IFERROR(Tabla34[[#This Row],[USD]]/$B$1,"")</f>
        <v/>
      </c>
    </row>
    <row r="211" spans="4:11" ht="15.75" x14ac:dyDescent="0.25">
      <c r="D211" s="2">
        <v>210</v>
      </c>
      <c r="E211" s="6"/>
      <c r="F211" s="2"/>
      <c r="G211" s="2"/>
      <c r="H211" s="2"/>
      <c r="I211" s="2" t="str">
        <f t="shared" si="3"/>
        <v/>
      </c>
      <c r="J211" s="3"/>
      <c r="K211" s="5" t="str">
        <f>IFERROR(Tabla34[[#This Row],[USD]]/$B$1,"")</f>
        <v/>
      </c>
    </row>
    <row r="212" spans="4:11" ht="15.75" x14ac:dyDescent="0.25">
      <c r="D212" s="2">
        <v>211</v>
      </c>
      <c r="E212" s="6"/>
      <c r="F212" s="2"/>
      <c r="G212" s="2"/>
      <c r="H212" s="2"/>
      <c r="I212" s="2" t="str">
        <f t="shared" si="3"/>
        <v/>
      </c>
      <c r="J212" s="3"/>
      <c r="K212" s="5" t="str">
        <f>IFERROR(Tabla34[[#This Row],[USD]]/$B$1,"")</f>
        <v/>
      </c>
    </row>
    <row r="213" spans="4:11" ht="15.75" x14ac:dyDescent="0.25">
      <c r="D213" s="2">
        <v>212</v>
      </c>
      <c r="E213" s="6"/>
      <c r="F213" s="2"/>
      <c r="G213" s="2"/>
      <c r="H213" s="2"/>
      <c r="I213" s="2" t="str">
        <f t="shared" si="3"/>
        <v/>
      </c>
      <c r="J213" s="3"/>
      <c r="K213" s="5" t="str">
        <f>IFERROR(Tabla34[[#This Row],[USD]]/$B$1,"")</f>
        <v/>
      </c>
    </row>
    <row r="214" spans="4:11" ht="15.75" x14ac:dyDescent="0.25">
      <c r="D214" s="2">
        <v>213</v>
      </c>
      <c r="E214" s="6"/>
      <c r="F214" s="2"/>
      <c r="G214" s="2"/>
      <c r="H214" s="2"/>
      <c r="I214" s="2" t="str">
        <f t="shared" si="3"/>
        <v/>
      </c>
      <c r="J214" s="3"/>
      <c r="K214" s="5" t="str">
        <f>IFERROR(Tabla34[[#This Row],[USD]]/$B$1,"")</f>
        <v/>
      </c>
    </row>
    <row r="215" spans="4:11" ht="15.75" x14ac:dyDescent="0.25">
      <c r="D215" s="2">
        <v>214</v>
      </c>
      <c r="E215" s="6"/>
      <c r="F215" s="2"/>
      <c r="G215" s="2"/>
      <c r="H215" s="2"/>
      <c r="I215" s="2" t="str">
        <f t="shared" si="3"/>
        <v/>
      </c>
      <c r="J215" s="3"/>
      <c r="K215" s="5" t="str">
        <f>IFERROR(Tabla34[[#This Row],[USD]]/$B$1,"")</f>
        <v/>
      </c>
    </row>
    <row r="216" spans="4:11" ht="15.75" x14ac:dyDescent="0.25">
      <c r="D216" s="2">
        <v>215</v>
      </c>
      <c r="E216" s="6"/>
      <c r="F216" s="2"/>
      <c r="G216" s="2"/>
      <c r="H216" s="2"/>
      <c r="I216" s="2" t="str">
        <f t="shared" si="3"/>
        <v/>
      </c>
      <c r="J216" s="3"/>
      <c r="K216" s="5" t="str">
        <f>IFERROR(Tabla34[[#This Row],[USD]]/$B$1,"")</f>
        <v/>
      </c>
    </row>
    <row r="217" spans="4:11" ht="15.75" x14ac:dyDescent="0.25">
      <c r="D217" s="2">
        <v>216</v>
      </c>
      <c r="E217" s="6"/>
      <c r="F217" s="2"/>
      <c r="G217" s="2"/>
      <c r="H217" s="2"/>
      <c r="I217" s="2" t="str">
        <f t="shared" si="3"/>
        <v/>
      </c>
      <c r="J217" s="3"/>
      <c r="K217" s="5" t="str">
        <f>IFERROR(Tabla34[[#This Row],[USD]]/$B$1,"")</f>
        <v/>
      </c>
    </row>
    <row r="218" spans="4:11" ht="15.75" x14ac:dyDescent="0.25">
      <c r="D218" s="2">
        <v>217</v>
      </c>
      <c r="E218" s="6"/>
      <c r="F218" s="2"/>
      <c r="G218" s="2"/>
      <c r="H218" s="2"/>
      <c r="I218" s="2" t="str">
        <f t="shared" si="3"/>
        <v/>
      </c>
      <c r="J218" s="3"/>
      <c r="K218" s="5" t="str">
        <f>IFERROR(Tabla34[[#This Row],[USD]]/$B$1,"")</f>
        <v/>
      </c>
    </row>
    <row r="219" spans="4:11" ht="15.75" x14ac:dyDescent="0.25">
      <c r="D219" s="2">
        <v>218</v>
      </c>
      <c r="E219" s="6"/>
      <c r="F219" s="2"/>
      <c r="G219" s="2"/>
      <c r="H219" s="2"/>
      <c r="I219" s="2" t="str">
        <f t="shared" si="3"/>
        <v/>
      </c>
      <c r="J219" s="3"/>
      <c r="K219" s="5" t="str">
        <f>IFERROR(Tabla34[[#This Row],[USD]]/$B$1,"")</f>
        <v/>
      </c>
    </row>
    <row r="220" spans="4:11" ht="15.75" x14ac:dyDescent="0.25">
      <c r="D220" s="2">
        <v>219</v>
      </c>
      <c r="E220" s="6"/>
      <c r="F220" s="2"/>
      <c r="G220" s="2"/>
      <c r="H220" s="2"/>
      <c r="I220" s="2" t="str">
        <f t="shared" si="3"/>
        <v/>
      </c>
      <c r="J220" s="3"/>
      <c r="K220" s="5" t="str">
        <f>IFERROR(Tabla34[[#This Row],[USD]]/$B$1,"")</f>
        <v/>
      </c>
    </row>
    <row r="221" spans="4:11" ht="15.75" x14ac:dyDescent="0.25">
      <c r="D221" s="2">
        <v>220</v>
      </c>
      <c r="E221" s="6"/>
      <c r="F221" s="2"/>
      <c r="G221" s="2"/>
      <c r="H221" s="2"/>
      <c r="I221" s="2" t="str">
        <f t="shared" si="3"/>
        <v/>
      </c>
      <c r="J221" s="3"/>
      <c r="K221" s="5" t="str">
        <f>IFERROR(Tabla34[[#This Row],[USD]]/$B$1,"")</f>
        <v/>
      </c>
    </row>
    <row r="222" spans="4:11" ht="15.75" x14ac:dyDescent="0.25">
      <c r="D222" s="2">
        <v>221</v>
      </c>
      <c r="E222" s="6"/>
      <c r="F222" s="2"/>
      <c r="G222" s="2"/>
      <c r="H222" s="2"/>
      <c r="I222" s="2" t="str">
        <f t="shared" si="3"/>
        <v/>
      </c>
      <c r="J222" s="3"/>
      <c r="K222" s="5" t="str">
        <f>IFERROR(Tabla34[[#This Row],[USD]]/$B$1,"")</f>
        <v/>
      </c>
    </row>
    <row r="223" spans="4:11" ht="15.75" x14ac:dyDescent="0.25">
      <c r="D223" s="2">
        <v>222</v>
      </c>
      <c r="E223" s="6"/>
      <c r="F223" s="2"/>
      <c r="G223" s="2"/>
      <c r="H223" s="2"/>
      <c r="I223" s="2" t="str">
        <f t="shared" si="3"/>
        <v/>
      </c>
      <c r="J223" s="3"/>
      <c r="K223" s="5" t="str">
        <f>IFERROR(Tabla34[[#This Row],[USD]]/$B$1,"")</f>
        <v/>
      </c>
    </row>
    <row r="224" spans="4:11" ht="15.75" x14ac:dyDescent="0.25">
      <c r="D224" s="2">
        <v>223</v>
      </c>
      <c r="E224" s="6"/>
      <c r="F224" s="2"/>
      <c r="G224" s="2"/>
      <c r="H224" s="2"/>
      <c r="I224" s="2" t="str">
        <f t="shared" si="3"/>
        <v/>
      </c>
      <c r="J224" s="3"/>
      <c r="K224" s="5" t="str">
        <f>IFERROR(Tabla34[[#This Row],[USD]]/$B$1,"")</f>
        <v/>
      </c>
    </row>
    <row r="225" spans="4:11" ht="15.75" x14ac:dyDescent="0.25">
      <c r="D225" s="2">
        <v>224</v>
      </c>
      <c r="E225" s="6"/>
      <c r="F225" s="2"/>
      <c r="G225" s="2"/>
      <c r="H225" s="2"/>
      <c r="I225" s="2" t="str">
        <f t="shared" si="3"/>
        <v/>
      </c>
      <c r="J225" s="3"/>
      <c r="K225" s="5" t="str">
        <f>IFERROR(Tabla34[[#This Row],[USD]]/$B$1,"")</f>
        <v/>
      </c>
    </row>
    <row r="226" spans="4:11" ht="15.75" x14ac:dyDescent="0.25">
      <c r="D226" s="2">
        <v>225</v>
      </c>
      <c r="E226" s="6"/>
      <c r="F226" s="2"/>
      <c r="G226" s="2"/>
      <c r="H226" s="2"/>
      <c r="I226" s="2" t="str">
        <f t="shared" si="3"/>
        <v/>
      </c>
      <c r="J226" s="3"/>
      <c r="K226" s="5" t="str">
        <f>IFERROR(Tabla34[[#This Row],[USD]]/$B$1,"")</f>
        <v/>
      </c>
    </row>
    <row r="227" spans="4:11" ht="15.75" x14ac:dyDescent="0.25">
      <c r="D227" s="2">
        <v>226</v>
      </c>
      <c r="E227" s="6"/>
      <c r="F227" s="2"/>
      <c r="G227" s="2"/>
      <c r="H227" s="2"/>
      <c r="I227" s="2" t="str">
        <f t="shared" si="3"/>
        <v/>
      </c>
      <c r="J227" s="3"/>
      <c r="K227" s="5" t="str">
        <f>IFERROR(Tabla34[[#This Row],[USD]]/$B$1,"")</f>
        <v/>
      </c>
    </row>
    <row r="228" spans="4:11" ht="15.75" x14ac:dyDescent="0.25">
      <c r="D228" s="2">
        <v>227</v>
      </c>
      <c r="E228" s="6"/>
      <c r="F228" s="2"/>
      <c r="G228" s="2"/>
      <c r="H228" s="2"/>
      <c r="I228" s="2" t="str">
        <f t="shared" si="3"/>
        <v/>
      </c>
      <c r="J228" s="3"/>
      <c r="K228" s="5" t="str">
        <f>IFERROR(Tabla34[[#This Row],[USD]]/$B$1,"")</f>
        <v/>
      </c>
    </row>
    <row r="229" spans="4:11" ht="15.75" x14ac:dyDescent="0.25">
      <c r="D229" s="2">
        <v>228</v>
      </c>
      <c r="E229" s="6"/>
      <c r="F229" s="2"/>
      <c r="G229" s="2"/>
      <c r="H229" s="2"/>
      <c r="I229" s="2" t="str">
        <f t="shared" si="3"/>
        <v/>
      </c>
      <c r="J229" s="3"/>
      <c r="K229" s="5" t="str">
        <f>IFERROR(Tabla34[[#This Row],[USD]]/$B$1,"")</f>
        <v/>
      </c>
    </row>
    <row r="230" spans="4:11" ht="15.75" x14ac:dyDescent="0.25">
      <c r="D230" s="2">
        <v>229</v>
      </c>
      <c r="E230" s="6"/>
      <c r="F230" s="2"/>
      <c r="G230" s="2"/>
      <c r="H230" s="2"/>
      <c r="I230" s="2" t="str">
        <f t="shared" si="3"/>
        <v/>
      </c>
      <c r="J230" s="3"/>
      <c r="K230" s="5" t="str">
        <f>IFERROR(Tabla34[[#This Row],[USD]]/$B$1,"")</f>
        <v/>
      </c>
    </row>
    <row r="231" spans="4:11" ht="15.75" x14ac:dyDescent="0.25">
      <c r="D231" s="2">
        <v>230</v>
      </c>
      <c r="E231" s="6"/>
      <c r="F231" s="2"/>
      <c r="G231" s="2"/>
      <c r="H231" s="2"/>
      <c r="I231" s="2" t="str">
        <f t="shared" si="3"/>
        <v/>
      </c>
      <c r="J231" s="3"/>
      <c r="K231" s="5" t="str">
        <f>IFERROR(Tabla34[[#This Row],[USD]]/$B$1,"")</f>
        <v/>
      </c>
    </row>
    <row r="232" spans="4:11" ht="15.75" x14ac:dyDescent="0.25">
      <c r="D232" s="2">
        <v>231</v>
      </c>
      <c r="E232" s="6"/>
      <c r="F232" s="2"/>
      <c r="G232" s="2"/>
      <c r="H232" s="2"/>
      <c r="I232" s="2" t="str">
        <f t="shared" si="3"/>
        <v/>
      </c>
      <c r="J232" s="3"/>
      <c r="K232" s="5" t="str">
        <f>IFERROR(Tabla34[[#This Row],[USD]]/$B$1,"")</f>
        <v/>
      </c>
    </row>
    <row r="233" spans="4:11" ht="15.75" x14ac:dyDescent="0.25">
      <c r="D233" s="2">
        <v>232</v>
      </c>
      <c r="E233" s="6"/>
      <c r="F233" s="2"/>
      <c r="G233" s="2"/>
      <c r="H233" s="2"/>
      <c r="I233" s="2" t="str">
        <f t="shared" si="3"/>
        <v/>
      </c>
      <c r="J233" s="3"/>
      <c r="K233" s="5" t="str">
        <f>IFERROR(Tabla34[[#This Row],[USD]]/$B$1,"")</f>
        <v/>
      </c>
    </row>
    <row r="234" spans="4:11" ht="15.75" x14ac:dyDescent="0.25">
      <c r="D234" s="2">
        <v>233</v>
      </c>
      <c r="E234" s="6"/>
      <c r="F234" s="2"/>
      <c r="G234" s="2"/>
      <c r="H234" s="2"/>
      <c r="I234" s="2" t="str">
        <f t="shared" si="3"/>
        <v/>
      </c>
      <c r="J234" s="3"/>
      <c r="K234" s="5" t="str">
        <f>IFERROR(Tabla34[[#This Row],[USD]]/$B$1,"")</f>
        <v/>
      </c>
    </row>
    <row r="235" spans="4:11" ht="15.75" x14ac:dyDescent="0.25">
      <c r="D235" s="2">
        <v>234</v>
      </c>
      <c r="E235" s="6"/>
      <c r="F235" s="2"/>
      <c r="G235" s="2"/>
      <c r="H235" s="2"/>
      <c r="I235" s="2" t="str">
        <f t="shared" si="3"/>
        <v/>
      </c>
      <c r="J235" s="3"/>
      <c r="K235" s="5" t="str">
        <f>IFERROR(Tabla34[[#This Row],[USD]]/$B$1,"")</f>
        <v/>
      </c>
    </row>
    <row r="236" spans="4:11" ht="15.75" x14ac:dyDescent="0.25">
      <c r="D236" s="2">
        <v>235</v>
      </c>
      <c r="E236" s="6"/>
      <c r="F236" s="2"/>
      <c r="G236" s="2"/>
      <c r="H236" s="2"/>
      <c r="I236" s="2" t="str">
        <f t="shared" si="3"/>
        <v/>
      </c>
      <c r="J236" s="3"/>
      <c r="K236" s="5" t="str">
        <f>IFERROR(Tabla34[[#This Row],[USD]]/$B$1,"")</f>
        <v/>
      </c>
    </row>
    <row r="237" spans="4:11" ht="15.75" x14ac:dyDescent="0.25">
      <c r="D237" s="2">
        <v>236</v>
      </c>
      <c r="E237" s="6"/>
      <c r="F237" s="2"/>
      <c r="G237" s="2"/>
      <c r="H237" s="2"/>
      <c r="I237" s="2" t="str">
        <f t="shared" si="3"/>
        <v/>
      </c>
      <c r="J237" s="3"/>
      <c r="K237" s="5" t="str">
        <f>IFERROR(Tabla34[[#This Row],[USD]]/$B$1,"")</f>
        <v/>
      </c>
    </row>
    <row r="238" spans="4:11" ht="15.75" x14ac:dyDescent="0.25">
      <c r="D238" s="2">
        <v>237</v>
      </c>
      <c r="E238" s="6"/>
      <c r="F238" s="2"/>
      <c r="G238" s="2"/>
      <c r="H238" s="2"/>
      <c r="I238" s="2" t="str">
        <f t="shared" si="3"/>
        <v/>
      </c>
      <c r="J238" s="3"/>
      <c r="K238" s="5" t="str">
        <f>IFERROR(Tabla34[[#This Row],[USD]]/$B$1,"")</f>
        <v/>
      </c>
    </row>
    <row r="239" spans="4:11" ht="15.75" x14ac:dyDescent="0.25">
      <c r="D239" s="2">
        <v>238</v>
      </c>
      <c r="E239" s="6"/>
      <c r="F239" s="2"/>
      <c r="G239" s="2"/>
      <c r="H239" s="2"/>
      <c r="I239" s="2" t="str">
        <f t="shared" si="3"/>
        <v/>
      </c>
      <c r="J239" s="3"/>
      <c r="K239" s="5" t="str">
        <f>IFERROR(Tabla34[[#This Row],[USD]]/$B$1,"")</f>
        <v/>
      </c>
    </row>
    <row r="240" spans="4:11" ht="15.75" x14ac:dyDescent="0.25">
      <c r="D240" s="2">
        <v>239</v>
      </c>
      <c r="E240" s="6"/>
      <c r="F240" s="2"/>
      <c r="G240" s="2"/>
      <c r="H240" s="2"/>
      <c r="I240" s="2" t="str">
        <f t="shared" si="3"/>
        <v/>
      </c>
      <c r="J240" s="3"/>
      <c r="K240" s="5" t="str">
        <f>IFERROR(Tabla34[[#This Row],[USD]]/$B$1,"")</f>
        <v/>
      </c>
    </row>
    <row r="241" spans="4:11" ht="15.75" x14ac:dyDescent="0.25">
      <c r="D241" s="2">
        <v>240</v>
      </c>
      <c r="E241" s="6"/>
      <c r="F241" s="2"/>
      <c r="G241" s="2"/>
      <c r="H241" s="2"/>
      <c r="I241" s="2" t="str">
        <f t="shared" si="3"/>
        <v/>
      </c>
      <c r="J241" s="3"/>
      <c r="K241" s="5" t="str">
        <f>IFERROR(Tabla34[[#This Row],[USD]]/$B$1,"")</f>
        <v/>
      </c>
    </row>
    <row r="242" spans="4:11" ht="15.75" x14ac:dyDescent="0.25">
      <c r="D242" s="2">
        <v>241</v>
      </c>
      <c r="E242" s="6"/>
      <c r="F242" s="2"/>
      <c r="G242" s="2"/>
      <c r="H242" s="2"/>
      <c r="I242" s="2" t="str">
        <f t="shared" si="3"/>
        <v/>
      </c>
      <c r="J242" s="3"/>
      <c r="K242" s="5" t="str">
        <f>IFERROR(Tabla34[[#This Row],[USD]]/$B$1,"")</f>
        <v/>
      </c>
    </row>
    <row r="243" spans="4:11" ht="15.75" x14ac:dyDescent="0.25">
      <c r="D243" s="2">
        <v>242</v>
      </c>
      <c r="E243" s="6"/>
      <c r="F243" s="2"/>
      <c r="G243" s="2"/>
      <c r="H243" s="2"/>
      <c r="I243" s="2" t="str">
        <f t="shared" si="3"/>
        <v/>
      </c>
      <c r="J243" s="3"/>
      <c r="K243" s="5" t="str">
        <f>IFERROR(Tabla34[[#This Row],[USD]]/$B$1,"")</f>
        <v/>
      </c>
    </row>
    <row r="244" spans="4:11" ht="15.75" x14ac:dyDescent="0.25">
      <c r="D244" s="2">
        <v>243</v>
      </c>
      <c r="E244" s="6"/>
      <c r="F244" s="2"/>
      <c r="G244" s="2"/>
      <c r="H244" s="2"/>
      <c r="I244" s="2" t="str">
        <f t="shared" si="3"/>
        <v/>
      </c>
      <c r="J244" s="3"/>
      <c r="K244" s="5" t="str">
        <f>IFERROR(Tabla34[[#This Row],[USD]]/$B$1,"")</f>
        <v/>
      </c>
    </row>
    <row r="245" spans="4:11" ht="15.75" x14ac:dyDescent="0.25">
      <c r="D245" s="2">
        <v>244</v>
      </c>
      <c r="E245" s="6"/>
      <c r="F245" s="2"/>
      <c r="G245" s="2"/>
      <c r="H245" s="2"/>
      <c r="I245" s="2" t="str">
        <f t="shared" si="3"/>
        <v/>
      </c>
      <c r="J245" s="3"/>
      <c r="K245" s="5" t="str">
        <f>IFERROR(Tabla34[[#This Row],[USD]]/$B$1,"")</f>
        <v/>
      </c>
    </row>
    <row r="246" spans="4:11" ht="15.75" x14ac:dyDescent="0.25">
      <c r="D246" s="2">
        <v>245</v>
      </c>
      <c r="E246" s="6"/>
      <c r="F246" s="2"/>
      <c r="G246" s="2"/>
      <c r="H246" s="2"/>
      <c r="I246" s="2" t="str">
        <f t="shared" si="3"/>
        <v/>
      </c>
      <c r="J246" s="3"/>
      <c r="K246" s="5" t="str">
        <f>IFERROR(Tabla34[[#This Row],[USD]]/$B$1,"")</f>
        <v/>
      </c>
    </row>
    <row r="247" spans="4:11" ht="15.75" x14ac:dyDescent="0.25">
      <c r="D247" s="2">
        <v>246</v>
      </c>
      <c r="E247" s="6"/>
      <c r="F247" s="2"/>
      <c r="G247" s="2"/>
      <c r="H247" s="2"/>
      <c r="I247" s="2" t="str">
        <f t="shared" si="3"/>
        <v/>
      </c>
      <c r="J247" s="3"/>
      <c r="K247" s="5" t="str">
        <f>IFERROR(Tabla34[[#This Row],[USD]]/$B$1,"")</f>
        <v/>
      </c>
    </row>
    <row r="248" spans="4:11" ht="15.75" x14ac:dyDescent="0.25">
      <c r="D248" s="2">
        <v>247</v>
      </c>
      <c r="E248" s="6"/>
      <c r="F248" s="2"/>
      <c r="G248" s="2"/>
      <c r="H248" s="2"/>
      <c r="I248" s="2" t="str">
        <f t="shared" si="3"/>
        <v/>
      </c>
      <c r="J248" s="3"/>
      <c r="K248" s="5" t="str">
        <f>IFERROR(Tabla34[[#This Row],[USD]]/$B$1,"")</f>
        <v/>
      </c>
    </row>
    <row r="249" spans="4:11" ht="15.75" x14ac:dyDescent="0.25">
      <c r="D249" s="2">
        <v>248</v>
      </c>
      <c r="E249" s="6"/>
      <c r="F249" s="2"/>
      <c r="G249" s="2"/>
      <c r="H249" s="2"/>
      <c r="I249" s="2" t="str">
        <f t="shared" si="3"/>
        <v/>
      </c>
      <c r="J249" s="3"/>
      <c r="K249" s="5" t="str">
        <f>IFERROR(Tabla34[[#This Row],[USD]]/$B$1,"")</f>
        <v/>
      </c>
    </row>
    <row r="250" spans="4:11" ht="15.75" x14ac:dyDescent="0.25">
      <c r="D250" s="2">
        <v>249</v>
      </c>
      <c r="E250" s="6"/>
      <c r="F250" s="2"/>
      <c r="G250" s="2"/>
      <c r="H250" s="2"/>
      <c r="I250" s="2" t="str">
        <f t="shared" si="3"/>
        <v/>
      </c>
      <c r="J250" s="3"/>
      <c r="K250" s="5" t="str">
        <f>IFERROR(Tabla34[[#This Row],[USD]]/$B$1,"")</f>
        <v/>
      </c>
    </row>
    <row r="251" spans="4:11" ht="15.75" x14ac:dyDescent="0.25">
      <c r="D251" s="2">
        <v>250</v>
      </c>
      <c r="E251" s="6"/>
      <c r="F251" s="2"/>
      <c r="G251" s="2"/>
      <c r="H251" s="2"/>
      <c r="I251" s="2" t="str">
        <f t="shared" si="3"/>
        <v/>
      </c>
      <c r="J251" s="3"/>
      <c r="K251" s="5" t="str">
        <f>IFERROR(Tabla34[[#This Row],[USD]]/$B$1,"")</f>
        <v/>
      </c>
    </row>
    <row r="252" spans="4:11" ht="15.75" x14ac:dyDescent="0.25">
      <c r="D252" s="2">
        <v>251</v>
      </c>
      <c r="E252" s="6"/>
      <c r="F252" s="2"/>
      <c r="G252" s="2"/>
      <c r="H252" s="2"/>
      <c r="I252" s="2" t="str">
        <f t="shared" si="3"/>
        <v/>
      </c>
      <c r="J252" s="3"/>
      <c r="K252" s="5" t="str">
        <f>IFERROR(Tabla34[[#This Row],[USD]]/$B$1,"")</f>
        <v/>
      </c>
    </row>
    <row r="253" spans="4:11" ht="15.75" x14ac:dyDescent="0.25">
      <c r="D253" s="2">
        <v>252</v>
      </c>
      <c r="E253" s="6"/>
      <c r="F253" s="2"/>
      <c r="G253" s="2"/>
      <c r="H253" s="2"/>
      <c r="I253" s="2" t="str">
        <f t="shared" si="3"/>
        <v/>
      </c>
      <c r="J253" s="3"/>
      <c r="K253" s="5" t="str">
        <f>IFERROR(Tabla34[[#This Row],[USD]]/$B$1,"")</f>
        <v/>
      </c>
    </row>
    <row r="254" spans="4:11" ht="15.75" x14ac:dyDescent="0.25">
      <c r="D254" s="2">
        <v>253</v>
      </c>
      <c r="E254" s="6"/>
      <c r="F254" s="2"/>
      <c r="G254" s="2"/>
      <c r="H254" s="2"/>
      <c r="I254" s="2" t="str">
        <f t="shared" si="3"/>
        <v/>
      </c>
      <c r="J254" s="3"/>
      <c r="K254" s="5" t="str">
        <f>IFERROR(Tabla34[[#This Row],[USD]]/$B$1,"")</f>
        <v/>
      </c>
    </row>
    <row r="255" spans="4:11" ht="15.75" x14ac:dyDescent="0.25">
      <c r="D255" s="2">
        <v>254</v>
      </c>
      <c r="E255" s="6"/>
      <c r="F255" s="2"/>
      <c r="G255" s="2"/>
      <c r="H255" s="2"/>
      <c r="I255" s="2" t="str">
        <f t="shared" si="3"/>
        <v/>
      </c>
      <c r="J255" s="3"/>
      <c r="K255" s="5" t="str">
        <f>IFERROR(Tabla34[[#This Row],[USD]]/$B$1,"")</f>
        <v/>
      </c>
    </row>
    <row r="256" spans="4:11" ht="15.75" x14ac:dyDescent="0.25">
      <c r="D256" s="2">
        <v>255</v>
      </c>
      <c r="E256" s="6"/>
      <c r="F256" s="2"/>
      <c r="G256" s="2"/>
      <c r="H256" s="2"/>
      <c r="I256" s="2" t="str">
        <f t="shared" si="3"/>
        <v/>
      </c>
      <c r="J256" s="3"/>
      <c r="K256" s="5" t="str">
        <f>IFERROR(Tabla34[[#This Row],[USD]]/$B$1,"")</f>
        <v/>
      </c>
    </row>
    <row r="257" spans="4:11" ht="15.75" x14ac:dyDescent="0.25">
      <c r="D257" s="2">
        <v>256</v>
      </c>
      <c r="E257" s="6"/>
      <c r="F257" s="2"/>
      <c r="G257" s="2"/>
      <c r="H257" s="2"/>
      <c r="I257" s="2" t="str">
        <f t="shared" si="3"/>
        <v/>
      </c>
      <c r="J257" s="3"/>
      <c r="K257" s="5" t="str">
        <f>IFERROR(Tabla34[[#This Row],[USD]]/$B$1,"")</f>
        <v/>
      </c>
    </row>
    <row r="258" spans="4:11" ht="15.75" x14ac:dyDescent="0.25">
      <c r="D258" s="2">
        <v>257</v>
      </c>
      <c r="E258" s="6"/>
      <c r="F258" s="2"/>
      <c r="G258" s="2"/>
      <c r="H258" s="2"/>
      <c r="I258" s="2" t="str">
        <f t="shared" si="3"/>
        <v/>
      </c>
      <c r="J258" s="3"/>
      <c r="K258" s="5" t="str">
        <f>IFERROR(Tabla34[[#This Row],[USD]]/$B$1,"")</f>
        <v/>
      </c>
    </row>
    <row r="259" spans="4:11" ht="15.75" x14ac:dyDescent="0.25">
      <c r="D259" s="2">
        <v>258</v>
      </c>
      <c r="E259" s="6"/>
      <c r="F259" s="2"/>
      <c r="G259" s="2"/>
      <c r="H259" s="2"/>
      <c r="I259" s="2" t="str">
        <f t="shared" ref="I259:I301" si="4">IF(J259="","",IF(J259&gt;3,"Ganado",IF(J259&lt;-3,"Perdido","Break Even")))</f>
        <v/>
      </c>
      <c r="J259" s="3"/>
      <c r="K259" s="5" t="str">
        <f>IFERROR(Tabla34[[#This Row],[USD]]/$B$1,"")</f>
        <v/>
      </c>
    </row>
    <row r="260" spans="4:11" ht="15.75" x14ac:dyDescent="0.25">
      <c r="D260" s="2">
        <v>259</v>
      </c>
      <c r="E260" s="6"/>
      <c r="F260" s="2"/>
      <c r="G260" s="2"/>
      <c r="H260" s="2"/>
      <c r="I260" s="2" t="str">
        <f t="shared" si="4"/>
        <v/>
      </c>
      <c r="J260" s="3"/>
      <c r="K260" s="5" t="str">
        <f>IFERROR(Tabla34[[#This Row],[USD]]/$B$1,"")</f>
        <v/>
      </c>
    </row>
    <row r="261" spans="4:11" ht="15.75" x14ac:dyDescent="0.25">
      <c r="D261" s="2">
        <v>260</v>
      </c>
      <c r="E261" s="6"/>
      <c r="F261" s="2"/>
      <c r="G261" s="2"/>
      <c r="H261" s="2"/>
      <c r="I261" s="2" t="str">
        <f t="shared" si="4"/>
        <v/>
      </c>
      <c r="J261" s="3"/>
      <c r="K261" s="5" t="str">
        <f>IFERROR(Tabla34[[#This Row],[USD]]/$B$1,"")</f>
        <v/>
      </c>
    </row>
    <row r="262" spans="4:11" ht="15.75" x14ac:dyDescent="0.25">
      <c r="D262" s="2">
        <v>261</v>
      </c>
      <c r="E262" s="6"/>
      <c r="F262" s="2"/>
      <c r="G262" s="2"/>
      <c r="H262" s="2"/>
      <c r="I262" s="2" t="str">
        <f t="shared" si="4"/>
        <v/>
      </c>
      <c r="J262" s="3"/>
      <c r="K262" s="5" t="str">
        <f>IFERROR(Tabla34[[#This Row],[USD]]/$B$1,"")</f>
        <v/>
      </c>
    </row>
    <row r="263" spans="4:11" ht="15.75" x14ac:dyDescent="0.25">
      <c r="D263" s="2">
        <v>262</v>
      </c>
      <c r="E263" s="6"/>
      <c r="F263" s="2"/>
      <c r="G263" s="2"/>
      <c r="H263" s="2"/>
      <c r="I263" s="2" t="str">
        <f t="shared" si="4"/>
        <v/>
      </c>
      <c r="J263" s="3"/>
      <c r="K263" s="5" t="str">
        <f>IFERROR(Tabla34[[#This Row],[USD]]/$B$1,"")</f>
        <v/>
      </c>
    </row>
    <row r="264" spans="4:11" ht="15.75" x14ac:dyDescent="0.25">
      <c r="D264" s="2">
        <v>263</v>
      </c>
      <c r="E264" s="6"/>
      <c r="F264" s="2"/>
      <c r="G264" s="2"/>
      <c r="H264" s="2"/>
      <c r="I264" s="2" t="str">
        <f t="shared" si="4"/>
        <v/>
      </c>
      <c r="J264" s="3"/>
      <c r="K264" s="5" t="str">
        <f>IFERROR(Tabla34[[#This Row],[USD]]/$B$1,"")</f>
        <v/>
      </c>
    </row>
    <row r="265" spans="4:11" ht="15.75" x14ac:dyDescent="0.25">
      <c r="D265" s="2">
        <v>264</v>
      </c>
      <c r="E265" s="6"/>
      <c r="F265" s="2"/>
      <c r="G265" s="2"/>
      <c r="H265" s="2"/>
      <c r="I265" s="2" t="str">
        <f t="shared" si="4"/>
        <v/>
      </c>
      <c r="J265" s="3"/>
      <c r="K265" s="5" t="str">
        <f>IFERROR(Tabla34[[#This Row],[USD]]/$B$1,"")</f>
        <v/>
      </c>
    </row>
    <row r="266" spans="4:11" ht="15.75" x14ac:dyDescent="0.25">
      <c r="D266" s="2">
        <v>265</v>
      </c>
      <c r="E266" s="6"/>
      <c r="F266" s="2"/>
      <c r="G266" s="2"/>
      <c r="H266" s="2"/>
      <c r="I266" s="2" t="str">
        <f t="shared" si="4"/>
        <v/>
      </c>
      <c r="J266" s="3"/>
      <c r="K266" s="5" t="str">
        <f>IFERROR(Tabla34[[#This Row],[USD]]/$B$1,"")</f>
        <v/>
      </c>
    </row>
    <row r="267" spans="4:11" ht="15.75" x14ac:dyDescent="0.25">
      <c r="D267" s="2">
        <v>266</v>
      </c>
      <c r="E267" s="6"/>
      <c r="F267" s="2"/>
      <c r="G267" s="2"/>
      <c r="H267" s="2"/>
      <c r="I267" s="2" t="str">
        <f t="shared" si="4"/>
        <v/>
      </c>
      <c r="J267" s="3"/>
      <c r="K267" s="5" t="str">
        <f>IFERROR(Tabla34[[#This Row],[USD]]/$B$1,"")</f>
        <v/>
      </c>
    </row>
    <row r="268" spans="4:11" ht="15.75" x14ac:dyDescent="0.25">
      <c r="D268" s="2">
        <v>267</v>
      </c>
      <c r="E268" s="6"/>
      <c r="F268" s="2"/>
      <c r="G268" s="2"/>
      <c r="H268" s="2"/>
      <c r="I268" s="2" t="str">
        <f t="shared" si="4"/>
        <v/>
      </c>
      <c r="J268" s="3"/>
      <c r="K268" s="5" t="str">
        <f>IFERROR(Tabla34[[#This Row],[USD]]/$B$1,"")</f>
        <v/>
      </c>
    </row>
    <row r="269" spans="4:11" ht="15.75" x14ac:dyDescent="0.25">
      <c r="D269" s="2">
        <v>268</v>
      </c>
      <c r="E269" s="6"/>
      <c r="F269" s="2"/>
      <c r="G269" s="2"/>
      <c r="H269" s="2"/>
      <c r="I269" s="2" t="str">
        <f t="shared" si="4"/>
        <v/>
      </c>
      <c r="J269" s="3"/>
      <c r="K269" s="5" t="str">
        <f>IFERROR(Tabla34[[#This Row],[USD]]/$B$1,"")</f>
        <v/>
      </c>
    </row>
    <row r="270" spans="4:11" ht="15.75" x14ac:dyDescent="0.25">
      <c r="D270" s="2">
        <v>269</v>
      </c>
      <c r="E270" s="6"/>
      <c r="F270" s="2"/>
      <c r="G270" s="2"/>
      <c r="H270" s="2"/>
      <c r="I270" s="2" t="str">
        <f t="shared" si="4"/>
        <v/>
      </c>
      <c r="J270" s="3"/>
      <c r="K270" s="5" t="str">
        <f>IFERROR(Tabla34[[#This Row],[USD]]/$B$1,"")</f>
        <v/>
      </c>
    </row>
    <row r="271" spans="4:11" ht="15.75" x14ac:dyDescent="0.25">
      <c r="D271" s="2">
        <v>270</v>
      </c>
      <c r="E271" s="6"/>
      <c r="F271" s="2"/>
      <c r="G271" s="2"/>
      <c r="H271" s="2"/>
      <c r="I271" s="2" t="str">
        <f t="shared" si="4"/>
        <v/>
      </c>
      <c r="J271" s="3"/>
      <c r="K271" s="5" t="str">
        <f>IFERROR(Tabla34[[#This Row],[USD]]/$B$1,"")</f>
        <v/>
      </c>
    </row>
    <row r="272" spans="4:11" ht="15.75" x14ac:dyDescent="0.25">
      <c r="D272" s="2">
        <v>271</v>
      </c>
      <c r="E272" s="6"/>
      <c r="F272" s="2"/>
      <c r="G272" s="2"/>
      <c r="H272" s="2"/>
      <c r="I272" s="2" t="str">
        <f t="shared" si="4"/>
        <v/>
      </c>
      <c r="J272" s="3"/>
      <c r="K272" s="5" t="str">
        <f>IFERROR(Tabla34[[#This Row],[USD]]/$B$1,"")</f>
        <v/>
      </c>
    </row>
    <row r="273" spans="4:11" ht="15.75" x14ac:dyDescent="0.25">
      <c r="D273" s="2">
        <v>272</v>
      </c>
      <c r="E273" s="6"/>
      <c r="F273" s="2"/>
      <c r="G273" s="2"/>
      <c r="H273" s="2"/>
      <c r="I273" s="2" t="str">
        <f t="shared" si="4"/>
        <v/>
      </c>
      <c r="J273" s="3"/>
      <c r="K273" s="5" t="str">
        <f>IFERROR(Tabla34[[#This Row],[USD]]/$B$1,"")</f>
        <v/>
      </c>
    </row>
    <row r="274" spans="4:11" ht="15.75" x14ac:dyDescent="0.25">
      <c r="D274" s="2">
        <v>273</v>
      </c>
      <c r="E274" s="6"/>
      <c r="F274" s="2"/>
      <c r="G274" s="2"/>
      <c r="H274" s="2"/>
      <c r="I274" s="2" t="str">
        <f t="shared" si="4"/>
        <v/>
      </c>
      <c r="J274" s="3"/>
      <c r="K274" s="5" t="str">
        <f>IFERROR(Tabla34[[#This Row],[USD]]/$B$1,"")</f>
        <v/>
      </c>
    </row>
    <row r="275" spans="4:11" ht="15.75" x14ac:dyDescent="0.25">
      <c r="D275" s="2">
        <v>274</v>
      </c>
      <c r="E275" s="6"/>
      <c r="F275" s="2"/>
      <c r="G275" s="2"/>
      <c r="H275" s="2"/>
      <c r="I275" s="2" t="str">
        <f t="shared" si="4"/>
        <v/>
      </c>
      <c r="J275" s="3"/>
      <c r="K275" s="5" t="str">
        <f>IFERROR(Tabla34[[#This Row],[USD]]/$B$1,"")</f>
        <v/>
      </c>
    </row>
    <row r="276" spans="4:11" ht="15.75" x14ac:dyDescent="0.25">
      <c r="D276" s="2">
        <v>275</v>
      </c>
      <c r="E276" s="6"/>
      <c r="F276" s="2"/>
      <c r="G276" s="2"/>
      <c r="H276" s="2"/>
      <c r="I276" s="2" t="str">
        <f t="shared" si="4"/>
        <v/>
      </c>
      <c r="J276" s="3"/>
      <c r="K276" s="5" t="str">
        <f>IFERROR(Tabla34[[#This Row],[USD]]/$B$1,"")</f>
        <v/>
      </c>
    </row>
    <row r="277" spans="4:11" ht="15.75" x14ac:dyDescent="0.25">
      <c r="D277" s="2">
        <v>276</v>
      </c>
      <c r="E277" s="6"/>
      <c r="F277" s="2"/>
      <c r="G277" s="2"/>
      <c r="H277" s="2"/>
      <c r="I277" s="2" t="str">
        <f t="shared" si="4"/>
        <v/>
      </c>
      <c r="J277" s="3"/>
      <c r="K277" s="5" t="str">
        <f>IFERROR(Tabla34[[#This Row],[USD]]/$B$1,"")</f>
        <v/>
      </c>
    </row>
    <row r="278" spans="4:11" ht="15.75" x14ac:dyDescent="0.25">
      <c r="D278" s="2">
        <v>277</v>
      </c>
      <c r="E278" s="6"/>
      <c r="F278" s="2"/>
      <c r="G278" s="2"/>
      <c r="H278" s="2"/>
      <c r="I278" s="2" t="str">
        <f t="shared" si="4"/>
        <v/>
      </c>
      <c r="J278" s="3"/>
      <c r="K278" s="5" t="str">
        <f>IFERROR(Tabla34[[#This Row],[USD]]/$B$1,"")</f>
        <v/>
      </c>
    </row>
    <row r="279" spans="4:11" ht="15.75" x14ac:dyDescent="0.25">
      <c r="D279" s="2">
        <v>278</v>
      </c>
      <c r="E279" s="6"/>
      <c r="F279" s="2"/>
      <c r="G279" s="2"/>
      <c r="H279" s="2"/>
      <c r="I279" s="2" t="str">
        <f t="shared" si="4"/>
        <v/>
      </c>
      <c r="J279" s="3"/>
      <c r="K279" s="5" t="str">
        <f>IFERROR(Tabla34[[#This Row],[USD]]/$B$1,"")</f>
        <v/>
      </c>
    </row>
    <row r="280" spans="4:11" ht="15.75" x14ac:dyDescent="0.25">
      <c r="D280" s="2">
        <v>279</v>
      </c>
      <c r="E280" s="6"/>
      <c r="F280" s="2"/>
      <c r="G280" s="2"/>
      <c r="H280" s="2"/>
      <c r="I280" s="2" t="str">
        <f t="shared" si="4"/>
        <v/>
      </c>
      <c r="J280" s="3"/>
      <c r="K280" s="5" t="str">
        <f>IFERROR(Tabla34[[#This Row],[USD]]/$B$1,"")</f>
        <v/>
      </c>
    </row>
    <row r="281" spans="4:11" ht="15.75" x14ac:dyDescent="0.25">
      <c r="D281" s="2">
        <v>280</v>
      </c>
      <c r="E281" s="6"/>
      <c r="F281" s="2"/>
      <c r="G281" s="2"/>
      <c r="H281" s="2"/>
      <c r="I281" s="2" t="str">
        <f t="shared" si="4"/>
        <v/>
      </c>
      <c r="J281" s="3"/>
      <c r="K281" s="5" t="str">
        <f>IFERROR(Tabla34[[#This Row],[USD]]/$B$1,"")</f>
        <v/>
      </c>
    </row>
    <row r="282" spans="4:11" ht="15.75" x14ac:dyDescent="0.25">
      <c r="D282" s="2">
        <v>281</v>
      </c>
      <c r="E282" s="6"/>
      <c r="F282" s="2"/>
      <c r="G282" s="2"/>
      <c r="H282" s="2"/>
      <c r="I282" s="2" t="str">
        <f t="shared" si="4"/>
        <v/>
      </c>
      <c r="J282" s="3"/>
      <c r="K282" s="5" t="str">
        <f>IFERROR(Tabla34[[#This Row],[USD]]/$B$1,"")</f>
        <v/>
      </c>
    </row>
    <row r="283" spans="4:11" ht="15.75" x14ac:dyDescent="0.25">
      <c r="D283" s="2">
        <v>282</v>
      </c>
      <c r="E283" s="6"/>
      <c r="F283" s="2"/>
      <c r="G283" s="2"/>
      <c r="H283" s="2"/>
      <c r="I283" s="2" t="str">
        <f t="shared" si="4"/>
        <v/>
      </c>
      <c r="J283" s="3"/>
      <c r="K283" s="5" t="str">
        <f>IFERROR(Tabla34[[#This Row],[USD]]/$B$1,"")</f>
        <v/>
      </c>
    </row>
    <row r="284" spans="4:11" ht="15.75" x14ac:dyDescent="0.25">
      <c r="D284" s="2">
        <v>283</v>
      </c>
      <c r="E284" s="6"/>
      <c r="F284" s="2"/>
      <c r="G284" s="2"/>
      <c r="H284" s="2"/>
      <c r="I284" s="2" t="str">
        <f t="shared" si="4"/>
        <v/>
      </c>
      <c r="J284" s="3"/>
      <c r="K284" s="5" t="str">
        <f>IFERROR(Tabla34[[#This Row],[USD]]/$B$1,"")</f>
        <v/>
      </c>
    </row>
    <row r="285" spans="4:11" ht="15.75" x14ac:dyDescent="0.25">
      <c r="D285" s="2">
        <v>284</v>
      </c>
      <c r="E285" s="6"/>
      <c r="F285" s="2"/>
      <c r="G285" s="2"/>
      <c r="H285" s="2"/>
      <c r="I285" s="2" t="str">
        <f t="shared" si="4"/>
        <v/>
      </c>
      <c r="J285" s="3"/>
      <c r="K285" s="5" t="str">
        <f>IFERROR(Tabla34[[#This Row],[USD]]/$B$1,"")</f>
        <v/>
      </c>
    </row>
    <row r="286" spans="4:11" ht="15.75" x14ac:dyDescent="0.25">
      <c r="D286" s="2">
        <v>285</v>
      </c>
      <c r="E286" s="6"/>
      <c r="F286" s="2"/>
      <c r="G286" s="2"/>
      <c r="H286" s="2"/>
      <c r="I286" s="2" t="str">
        <f t="shared" si="4"/>
        <v/>
      </c>
      <c r="J286" s="3"/>
      <c r="K286" s="5" t="str">
        <f>IFERROR(Tabla34[[#This Row],[USD]]/$B$1,"")</f>
        <v/>
      </c>
    </row>
    <row r="287" spans="4:11" ht="15.75" x14ac:dyDescent="0.25">
      <c r="D287" s="2">
        <v>286</v>
      </c>
      <c r="E287" s="2"/>
      <c r="F287" s="2"/>
      <c r="G287" s="2"/>
      <c r="H287" s="2"/>
      <c r="I287" s="2" t="str">
        <f t="shared" si="4"/>
        <v/>
      </c>
      <c r="J287" s="3"/>
      <c r="K287" s="5" t="str">
        <f>IFERROR(Tabla34[[#This Row],[USD]]/$B$1,"")</f>
        <v/>
      </c>
    </row>
    <row r="288" spans="4:11" ht="15.75" x14ac:dyDescent="0.25">
      <c r="D288" s="2">
        <v>287</v>
      </c>
      <c r="E288" s="2"/>
      <c r="F288" s="2"/>
      <c r="G288" s="2"/>
      <c r="H288" s="2"/>
      <c r="I288" s="2" t="str">
        <f t="shared" si="4"/>
        <v/>
      </c>
      <c r="J288" s="3"/>
      <c r="K288" s="5" t="str">
        <f>IFERROR(Tabla34[[#This Row],[USD]]/$B$1,"")</f>
        <v/>
      </c>
    </row>
    <row r="289" spans="4:11" ht="15.75" x14ac:dyDescent="0.25">
      <c r="D289" s="2">
        <v>288</v>
      </c>
      <c r="E289" s="2"/>
      <c r="F289" s="2"/>
      <c r="G289" s="2"/>
      <c r="H289" s="2"/>
      <c r="I289" s="2" t="str">
        <f t="shared" si="4"/>
        <v/>
      </c>
      <c r="J289" s="3"/>
      <c r="K289" s="5" t="str">
        <f>IFERROR(Tabla34[[#This Row],[USD]]/$B$1,"")</f>
        <v/>
      </c>
    </row>
    <row r="290" spans="4:11" ht="15.75" x14ac:dyDescent="0.25">
      <c r="D290" s="2">
        <v>289</v>
      </c>
      <c r="E290" s="2"/>
      <c r="F290" s="2"/>
      <c r="G290" s="2"/>
      <c r="H290" s="2"/>
      <c r="I290" s="2" t="str">
        <f t="shared" si="4"/>
        <v/>
      </c>
      <c r="J290" s="3"/>
      <c r="K290" s="5" t="str">
        <f>IFERROR(Tabla34[[#This Row],[USD]]/$B$1,"")</f>
        <v/>
      </c>
    </row>
    <row r="291" spans="4:11" ht="15.75" x14ac:dyDescent="0.25">
      <c r="D291" s="2">
        <v>290</v>
      </c>
      <c r="E291" s="2"/>
      <c r="F291" s="2"/>
      <c r="G291" s="2"/>
      <c r="H291" s="2"/>
      <c r="I291" s="2" t="str">
        <f t="shared" si="4"/>
        <v/>
      </c>
      <c r="J291" s="3"/>
      <c r="K291" s="5" t="str">
        <f>IFERROR(Tabla34[[#This Row],[USD]]/$B$1,"")</f>
        <v/>
      </c>
    </row>
    <row r="292" spans="4:11" ht="15.75" x14ac:dyDescent="0.25">
      <c r="D292" s="2">
        <v>291</v>
      </c>
      <c r="E292" s="2"/>
      <c r="F292" s="2"/>
      <c r="G292" s="2"/>
      <c r="H292" s="2"/>
      <c r="I292" s="2" t="str">
        <f t="shared" si="4"/>
        <v/>
      </c>
      <c r="J292" s="3"/>
      <c r="K292" s="5" t="str">
        <f>IFERROR(Tabla34[[#This Row],[USD]]/$B$1,"")</f>
        <v/>
      </c>
    </row>
    <row r="293" spans="4:11" ht="15.75" x14ac:dyDescent="0.25">
      <c r="D293" s="2">
        <v>292</v>
      </c>
      <c r="E293" s="2"/>
      <c r="F293" s="2"/>
      <c r="G293" s="2"/>
      <c r="H293" s="2"/>
      <c r="I293" s="2" t="str">
        <f t="shared" si="4"/>
        <v/>
      </c>
      <c r="J293" s="3"/>
      <c r="K293" s="5" t="str">
        <f>IFERROR(Tabla34[[#This Row],[USD]]/$B$1,"")</f>
        <v/>
      </c>
    </row>
    <row r="294" spans="4:11" ht="15.75" x14ac:dyDescent="0.25">
      <c r="D294" s="2">
        <v>293</v>
      </c>
      <c r="E294" s="2"/>
      <c r="F294" s="2"/>
      <c r="G294" s="2"/>
      <c r="H294" s="2"/>
      <c r="I294" s="2" t="str">
        <f t="shared" si="4"/>
        <v/>
      </c>
      <c r="J294" s="3"/>
      <c r="K294" s="5" t="str">
        <f>IFERROR(Tabla34[[#This Row],[USD]]/$B$1,"")</f>
        <v/>
      </c>
    </row>
    <row r="295" spans="4:11" ht="15.75" x14ac:dyDescent="0.25">
      <c r="D295" s="2">
        <v>294</v>
      </c>
      <c r="E295" s="2"/>
      <c r="F295" s="2"/>
      <c r="G295" s="2"/>
      <c r="H295" s="2"/>
      <c r="I295" s="2" t="str">
        <f t="shared" si="4"/>
        <v/>
      </c>
      <c r="J295" s="3"/>
      <c r="K295" s="5" t="str">
        <f>IFERROR(Tabla34[[#This Row],[USD]]/$B$1,"")</f>
        <v/>
      </c>
    </row>
    <row r="296" spans="4:11" ht="15.75" x14ac:dyDescent="0.25">
      <c r="D296" s="2">
        <v>295</v>
      </c>
      <c r="E296" s="2"/>
      <c r="F296" s="2"/>
      <c r="G296" s="2"/>
      <c r="H296" s="2"/>
      <c r="I296" s="2" t="str">
        <f t="shared" si="4"/>
        <v/>
      </c>
      <c r="J296" s="3"/>
      <c r="K296" s="5" t="str">
        <f>IFERROR(Tabla34[[#This Row],[USD]]/$B$1,"")</f>
        <v/>
      </c>
    </row>
    <row r="297" spans="4:11" ht="15.75" x14ac:dyDescent="0.25">
      <c r="D297" s="2">
        <v>296</v>
      </c>
      <c r="E297" s="2"/>
      <c r="F297" s="2"/>
      <c r="G297" s="2"/>
      <c r="H297" s="2"/>
      <c r="I297" s="2" t="str">
        <f t="shared" si="4"/>
        <v/>
      </c>
      <c r="J297" s="3"/>
      <c r="K297" s="5" t="str">
        <f>IFERROR(Tabla34[[#This Row],[USD]]/$B$1,"")</f>
        <v/>
      </c>
    </row>
    <row r="298" spans="4:11" ht="15.75" x14ac:dyDescent="0.25">
      <c r="D298" s="2">
        <v>297</v>
      </c>
      <c r="E298" s="2"/>
      <c r="F298" s="2"/>
      <c r="G298" s="2"/>
      <c r="H298" s="2"/>
      <c r="I298" s="2" t="str">
        <f t="shared" si="4"/>
        <v/>
      </c>
      <c r="J298" s="3"/>
      <c r="K298" s="5" t="str">
        <f>IFERROR(Tabla34[[#This Row],[USD]]/$B$1,"")</f>
        <v/>
      </c>
    </row>
    <row r="299" spans="4:11" ht="15.75" x14ac:dyDescent="0.25">
      <c r="D299" s="2">
        <v>298</v>
      </c>
      <c r="E299" s="2"/>
      <c r="F299" s="2"/>
      <c r="G299" s="2"/>
      <c r="H299" s="2"/>
      <c r="I299" s="2" t="str">
        <f t="shared" si="4"/>
        <v/>
      </c>
      <c r="J299" s="3"/>
      <c r="K299" s="5" t="str">
        <f>IFERROR(Tabla34[[#This Row],[USD]]/$B$1,"")</f>
        <v/>
      </c>
    </row>
    <row r="300" spans="4:11" ht="15.75" x14ac:dyDescent="0.25">
      <c r="D300" s="2">
        <v>299</v>
      </c>
      <c r="E300" s="2"/>
      <c r="F300" s="2"/>
      <c r="G300" s="2"/>
      <c r="H300" s="2"/>
      <c r="I300" s="2" t="str">
        <f t="shared" si="4"/>
        <v/>
      </c>
      <c r="J300" s="3"/>
      <c r="K300" s="5" t="str">
        <f>IFERROR(Tabla34[[#This Row],[USD]]/$B$1,"")</f>
        <v/>
      </c>
    </row>
    <row r="301" spans="4:11" ht="15.75" x14ac:dyDescent="0.25">
      <c r="D301" s="2">
        <v>300</v>
      </c>
      <c r="E301" s="2"/>
      <c r="F301" s="2"/>
      <c r="G301" s="2"/>
      <c r="H301" s="2"/>
      <c r="I301" s="2" t="str">
        <f t="shared" si="4"/>
        <v/>
      </c>
      <c r="J301" s="3"/>
      <c r="K301" s="5" t="str">
        <f>IFERROR(Tabla34[[#This Row],[USD]]/$B$1,"")</f>
        <v/>
      </c>
    </row>
    <row r="397" spans="18:34" ht="18.75" customHeight="1" x14ac:dyDescent="0.25">
      <c r="R397" s="86" t="s">
        <v>26</v>
      </c>
      <c r="S397" s="86"/>
      <c r="T397" s="86"/>
      <c r="U397" s="86"/>
      <c r="V397" s="86"/>
      <c r="X397" s="83" t="s">
        <v>28</v>
      </c>
      <c r="Y397" s="83"/>
      <c r="Z397" s="83"/>
      <c r="AA397" s="83"/>
      <c r="AB397" s="83"/>
      <c r="AD397" s="84" t="s">
        <v>27</v>
      </c>
      <c r="AE397" s="84"/>
      <c r="AF397" s="84"/>
      <c r="AG397" s="84"/>
      <c r="AH397" s="84"/>
    </row>
    <row r="398" spans="18:34" ht="15.75" customHeight="1" x14ac:dyDescent="0.25">
      <c r="R398" s="86"/>
      <c r="S398" s="86"/>
      <c r="T398" s="86"/>
      <c r="U398" s="86"/>
      <c r="V398" s="86"/>
      <c r="X398" s="83"/>
      <c r="Y398" s="83"/>
      <c r="Z398" s="83"/>
      <c r="AA398" s="83"/>
      <c r="AB398" s="83"/>
      <c r="AD398" s="84"/>
      <c r="AE398" s="84"/>
      <c r="AF398" s="84"/>
      <c r="AG398" s="84"/>
      <c r="AH398" s="84"/>
    </row>
    <row r="401" spans="18:34" ht="15.75" x14ac:dyDescent="0.25">
      <c r="R401" s="27" t="str">
        <f>IFERROR((COUNTIFS(I401:I1398,"100x",J401:J1398,"Ida",L401:L1398,"Ganado")+(COUNTIFS(I401:I1398,"100x",J401:J1398,"Ida",L401:L1398,"Break Even")))/(COUNTIFS(I401:I1398,"100x",J401:J1398,"Ida")),"Sin Datos")</f>
        <v>Sin Datos</v>
      </c>
      <c r="S401" s="27" t="str">
        <f>IFERROR((COUNTIFS(I401:I1398,"100x",J401:J1398,"Vuelta",L401:L1398,"Ganado")+(COUNTIFS(I401:I1398,"100x",J401:J1398,"Vuelta",L401:L1398,"Break Even")))/(COUNTIFS(I401:I1398,"100x",J401:J1398,"Vuelta")),"Sin Datos")</f>
        <v>Sin Datos</v>
      </c>
      <c r="T401" s="27" t="str">
        <f>IFERROR((COUNTIFS(I401:I1398,"100x",K401:K1398,"Long",L401:L1398,"Ganado")+(COUNTIFS(I401:I1398,"100x",K401:K1398,"Long",L401:L1398,"Break Even")))/(COUNTIFS(I401:I1398,"100x",K401:K1398,"Long")),"Sin Datos")</f>
        <v>Sin Datos</v>
      </c>
      <c r="U401" s="27" t="str">
        <f>IFERROR((COUNTIFS(I401:I1398,"100x",K401:K1398,"Short",L401:L1398,"Ganado")+(COUNTIFS(I401:I1398,"100x",K401:K1398,"Short",L401:L1398,"Break Even")))/(COUNTIFS(I401:I1398,"100x",K401:K1398,"Short")),"Sin Datos")</f>
        <v>Sin Datos</v>
      </c>
      <c r="V401" s="4" t="str">
        <f>IFERROR((COUNTIFS(I401:I1398,"100x",L401:L1398,"Ganado")+(COUNTIFS(I401:I1398,"100x",L401:L1398,"Break Even")))/(Q401),"Sin Datos")</f>
        <v>Sin Datos</v>
      </c>
      <c r="X401" s="27" t="str">
        <f>IFERROR((COUNTIFS(O401:O1398,"100x",P401:P1398,"Ida",R401:R1398,"Ganado"))/(COUNTIFS(O401:O1398,"100x",P401:P1398,"Ida")-(COUNTIFS(O401:O1398,"100x",P401:P1398,"Ida",R401:R1398,"Break Even"))),"Sin Datos")</f>
        <v>Sin Datos</v>
      </c>
      <c r="Y401" s="27" t="str">
        <f>IFERROR((COUNTIFS(O401:O1398,"100x",P401:P1398,"Vuelta",R401:R1398,"Ganado"))/(COUNTIFS(O401:O1398,"100x",P401:P1398,"Vuelta")-(COUNTIFS(O401:O1398,"100x",P401:P1398,"Vuelta",R401:R1398,"Break Even"))),"Sin Datos")</f>
        <v>Sin Datos</v>
      </c>
      <c r="Z401" s="27" t="str">
        <f>IFERROR((COUNTIFS(O401:O1398,"100x",Q401:Q1398,"Long",R401:R1398,"Ganado"))/(COUNTIFS(O401:O1398,"100x",Q401:Q1398,"Long")-(COUNTIFS(O401:O1398,"100x",Q401:Q1398,"Long",R401:R1398,"Break Even"))),"Sin Datos")</f>
        <v>Sin Datos</v>
      </c>
      <c r="AA401" s="27" t="str">
        <f>IFERROR((COUNTIFS(O401:O1398,"100x",Q401:Q1398,"Short",R401:R1398,"Ganado"))/(COUNTIFS(O401:O1398,"100x",Q401:Q1398,"Short")-(COUNTIFS(O401:O1398,"100x",Q401:Q1398,"Short",R401:R1398,"Break Even"))),"Sin Datos")</f>
        <v>Sin Datos</v>
      </c>
      <c r="AB401" s="4" t="str">
        <f>IFERROR((COUNTIFS(O401:O1398,"100x",R401:R1398,"Ganado"))/((W401)-(COUNTIFS(O401:O1398,"100x",R401:R1398,"Break Even"))),"Sin Datos")</f>
        <v>Sin Datos</v>
      </c>
      <c r="AD401" s="27" t="str">
        <f>IFERROR((COUNTIFS(U401:U1398,"100x",V401:V1398,"Ida",X401:X1398,"Ganado"))/(COUNTIFS(U401:U1398,"100x",V401:V1398,"Ida")),"Sin Datos")</f>
        <v>Sin Datos</v>
      </c>
      <c r="AE401" s="27" t="str">
        <f>IFERROR((COUNTIFS(U401:U1398,"100x",V401:V1398,"Vuelta",X401:X1398,"Ganado"))/(COUNTIFS(U401:U1398,"100x",V401:V1398,"Vuelta")),"Sin Datos")</f>
        <v>Sin Datos</v>
      </c>
      <c r="AF401" s="27" t="str">
        <f>IFERROR((COUNTIFS(U401:U1398,"100x",W401:W1398,"Long",X401:X1398,"Ganado"))/(COUNTIFS(U401:U1398,"100x",W401:W1398,"Long")),"Sin Datos")</f>
        <v>Sin Datos</v>
      </c>
      <c r="AG401" s="27" t="str">
        <f>IFERROR((COUNTIFS(U401:U1398,"100x",W401:W1398,"Short",X401:X1398,"Ganado"))/(COUNTIFS(U401:U1398,"100x",W401:W1398,"Short")),"Sin Datos")</f>
        <v>Sin Datos</v>
      </c>
      <c r="AH401" s="4" t="str">
        <f>IFERROR((COUNTIFS(U401:U1398,"100x",X401:X1398,"Ganado"))/(AC401),"Sin Datos")</f>
        <v>Sin Datos</v>
      </c>
    </row>
    <row r="402" spans="18:34" ht="15.75" x14ac:dyDescent="0.25">
      <c r="R402" s="27" t="str">
        <f>IFERROR((COUNTIFS(I401:I1398,"50x",J401:J1398,"Ida",L401:L1398,"Ganado")+(COUNTIFS(I401:I1398,"50x",J401:J1398,"Ida",L401:L1398,"Break Even")))/(COUNTIFS(I401:I1398,"50x",J401:J1398,"Ida")),"Sin Datos")</f>
        <v>Sin Datos</v>
      </c>
      <c r="S402" s="27" t="str">
        <f>IFERROR((COUNTIFS(I401:I1398,"50x",J401:J1398,"Vuelta",L401:L1398,"Ganado")+(COUNTIFS(I401:I1398,"50x",J401:J1398,"Vuelta",L401:L1398,"Break Even")))/(COUNTIFS(I401:I1398,"50x",J401:J1398,"Vuelta")),"Sin Datos")</f>
        <v>Sin Datos</v>
      </c>
      <c r="T402" s="27" t="str">
        <f>IFERROR((COUNTIFS(I401:I1398,"50x",K401:K1398,"Long",L401:L1398,"Ganado")+(COUNTIFS(I401:I1398,"50x",K401:K1398,"Long",L401:L1398,"Break Even")))/(COUNTIFS(I401:I1398,"50x",K401:K1398,"Long")),"Sin Datos")</f>
        <v>Sin Datos</v>
      </c>
      <c r="U402" s="27" t="str">
        <f>IFERROR((COUNTIFS(I401:I1398,"50x",K401:K1398,"Short",L401:L1398,"Ganado")+(COUNTIFS(I401:I1398,"50x",K401:K1398,"Short",L401:L1398,"Break Even")))/(COUNTIFS(I401:I1398,"50x",K401:K1398,"Short")),"Sin Datos")</f>
        <v>Sin Datos</v>
      </c>
      <c r="V402" s="4" t="str">
        <f>IFERROR((COUNTIFS(I401:I1398,"50x",L401:L1398,"Ganado")+(COUNTIFS(I401:I1398,"50x",L401:L1398,"Break Even")))/(Q402),"Sin Datos")</f>
        <v>Sin Datos</v>
      </c>
      <c r="X402" s="27" t="str">
        <f>IFERROR((COUNTIFS(O401:O1398,"50x",P401:P1398,"Ida",R401:R1398,"Ganado"))/(COUNTIFS(O401:O1398,"50x",P401:P1398,"Ida")-(COUNTIFS(O401:O1398,"50x",P401:P1398,"Ida",R401:R1398,"Break Even"))),"Sin Datos")</f>
        <v>Sin Datos</v>
      </c>
      <c r="Y402" s="27" t="str">
        <f>IFERROR((COUNTIFS(O401:O1398,"50x",P401:P1398,"Vuelta",R401:R1398,"Ganado"))/(COUNTIFS(O401:O1398,"50x",P401:P1398,"Vuelta")-(COUNTIFS(O401:O1398,"50x",P401:P1398,"Vuelta",R401:R1398,"Break Even"))),"Sin Datos")</f>
        <v>Sin Datos</v>
      </c>
      <c r="Z402" s="27" t="str">
        <f>IFERROR((COUNTIFS(O401:O1398,"50x",Q401:Q1398,"Long",R401:R1398,"Ganado"))/(COUNTIFS(O401:O1398,"50x",Q401:Q1398,"Long")-(COUNTIFS(O401:O1398,"50x",Q401:Q1398,"Long",R401:R1398,"Break Even"))),"Sin Datos")</f>
        <v>Sin Datos</v>
      </c>
      <c r="AA402" s="27" t="str">
        <f>IFERROR((COUNTIFS(O401:O1398,"50x",Q401:Q1398,"Short",R401:R1398,"Ganado"))/(COUNTIFS(O401:O1398,"50x",Q401:Q1398,"Short")-(COUNTIFS(O401:O1398,"50x",Q401:Q1398,"Short",R401:R1398,"Break Even"))),"Sin Datos")</f>
        <v>Sin Datos</v>
      </c>
      <c r="AB402" s="4" t="str">
        <f>IFERROR((COUNTIFS(O401:O1398,"50x",R401:R1398,"Ganado"))/((W402)-(COUNTIFS(O401:O1398,"50x",R401:R1398,"Break Even"))),"Sin Datos")</f>
        <v>Sin Datos</v>
      </c>
      <c r="AD402" s="27" t="str">
        <f>IFERROR((COUNTIFS(U401:U1398,"50x",V401:V1398,"Ida",X401:X1398,"Ganado"))/(COUNTIFS(U401:U1398,"50x",V401:V1398,"Ida")),"Sin Datos")</f>
        <v>Sin Datos</v>
      </c>
      <c r="AE402" s="27" t="str">
        <f>IFERROR((COUNTIFS(U401:U1398,"50x",V401:V1398,"Vuelta",X401:X1398,"Ganado"))/(COUNTIFS(U401:U1398,"50x",V401:V1398,"Vuelta")),"Sin Datos")</f>
        <v>Sin Datos</v>
      </c>
      <c r="AF402" s="27" t="str">
        <f>IFERROR((COUNTIFS(U401:U1398,"50x",W401:W1398,"Long",X401:X1398,"Ganado"))/(COUNTIFS(U401:U1398,"50x",W401:W1398,"Long")),"Sin Datos")</f>
        <v>Sin Datos</v>
      </c>
      <c r="AG402" s="27" t="str">
        <f>IFERROR((COUNTIFS(U401:U1398,"50x",W401:W1398,"Short",X401:X1398,"Ganado"))/(COUNTIFS(U401:U1398,"50x",W401:W1398,"Short")),"Sin Datos")</f>
        <v>Sin Datos</v>
      </c>
      <c r="AH402" s="4" t="str">
        <f>IFERROR((COUNTIFS(U401:U1398,"50x",X401:X1398,"Ganado"))/(AC402),"Sin Datos")</f>
        <v>Sin Datos</v>
      </c>
    </row>
    <row r="403" spans="18:34" ht="15.75" x14ac:dyDescent="0.25">
      <c r="R403" s="27" t="str">
        <f>IFERROR((COUNTIFS(I401:I1398,"25x",J401:J1398,"Ida",L401:L1398,"Ganado")+(COUNTIFS(I401:I1398,"25x",J401:J1398,"Ida",L401:L1398,"Break Even")))/(COUNTIFS(I401:I1398,"25x",J401:J1398,"Ida")),"Sin Datos")</f>
        <v>Sin Datos</v>
      </c>
      <c r="S403" s="27" t="str">
        <f>IFERROR((COUNTIFS(I401:I1398,"25x",J401:J1398,"Vuelta",L401:L1398,"Ganado")+(COUNTIFS(I401:I1398,"25x",J401:J1398,"Vuelta",L401:L1398,"Break Even")))/(COUNTIFS(I401:I1398,"25x",J401:J1398,"Vuelta")),"Sin Datos")</f>
        <v>Sin Datos</v>
      </c>
      <c r="T403" s="27" t="str">
        <f>IFERROR((COUNTIFS(I401:I1398,"25x",K401:K1398,"Long",L401:L1398,"Ganado")+(COUNTIFS(I401:I1398,"25x",K401:K1398,"Long",L401:L1398,"Break Even")))/(COUNTIFS(I401:I1398,"25x",K401:K1398,"Long")),"Sin Datos")</f>
        <v>Sin Datos</v>
      </c>
      <c r="U403" s="27" t="str">
        <f>IFERROR((COUNTIFS(I401:I1398,"25x",K401:K1398,"Short",L401:L1398,"Ganado")+(COUNTIFS(I401:I1398,"25x",K401:K1398,"Short",L401:L1398,"Break Even")))/(COUNTIFS(I401:I1398,"25x",K401:K1398,"Short")),"Sin Datos")</f>
        <v>Sin Datos</v>
      </c>
      <c r="V403" s="4" t="str">
        <f>IFERROR((COUNTIFS(I401:I1398,"25x",L401:L1398,"Ganado")+(COUNTIFS(I401:I1398,"25x",L401:L1398,"Break Even")))/(Q403),"Sin Datos")</f>
        <v>Sin Datos</v>
      </c>
      <c r="X403" s="27" t="str">
        <f>IFERROR((COUNTIFS(O401:O1398,"25x",P401:P1398,"Ida",R401:R1398,"Ganado"))/(COUNTIFS(O401:O1398,"25x",P401:P1398,"Ida")-(COUNTIFS(O401:O1398,"25x",P401:P1398,"Ida",R401:R1398,"Break Even"))),"Sin Datos")</f>
        <v>Sin Datos</v>
      </c>
      <c r="Y403" s="27" t="str">
        <f>IFERROR((COUNTIFS(O401:O1398,"25x",P401:P1398,"Vuelta",R401:R1398,"Ganado"))/(COUNTIFS(O401:O1398,"25x",P401:P1398,"Vuelta")-(COUNTIFS(O401:O1398,"25x",P401:P1398,"Vuelta",R401:R1398,"Break Even"))),"Sin Datos")</f>
        <v>Sin Datos</v>
      </c>
      <c r="Z403" s="27" t="str">
        <f>IFERROR((COUNTIFS(O401:O1398,"25x",Q401:Q1398,"Long",R401:R1398,"Ganado"))/(COUNTIFS(O401:O1398,"25x",Q401:Q1398,"Long")-(COUNTIFS(O401:O1398,"25x",Q401:Q1398,"Long",R401:R1398,"Break Even"))),"Sin Datos")</f>
        <v>Sin Datos</v>
      </c>
      <c r="AA403" s="27" t="str">
        <f>IFERROR((COUNTIFS(O401:O1398,"25x",Q401:Q1398,"Short",R401:R1398,"Ganado"))/(COUNTIFS(O401:O1398,"25x",Q401:Q1398,"Short")-(COUNTIFS(O401:O1398,"25x",Q401:Q1398,"Short",R401:R1398,"Break Even"))),"Sin Datos")</f>
        <v>Sin Datos</v>
      </c>
      <c r="AB403" s="4" t="str">
        <f>IFERROR((COUNTIFS(O401:O1398,"25x",R401:R1398,"Ganado"))/((W403)-(COUNTIFS(O401:O1398,"25x",R401:R1398,"Break Even"))),"Sin Datos")</f>
        <v>Sin Datos</v>
      </c>
      <c r="AD403" s="27" t="str">
        <f>IFERROR((COUNTIFS(U401:U1398,"25x",V401:V1398,"Ida",X401:X1398,"Ganado"))/(COUNTIFS(U401:U1398,"25x",V401:V1398,"Ida")),"Sin Datos")</f>
        <v>Sin Datos</v>
      </c>
      <c r="AE403" s="27" t="str">
        <f>IFERROR((COUNTIFS(U401:U1398,"25x",V401:V1398,"Vuelta",X401:X1398,"Ganado"))/(COUNTIFS(U401:U1398,"25x",V401:V1398,"Vuelta")),"Sin Datos")</f>
        <v>Sin Datos</v>
      </c>
      <c r="AF403" s="27" t="str">
        <f>IFERROR((COUNTIFS(U401:U1398,"25x",W401:W1398,"Long",X401:X1398,"Ganado"))/(COUNTIFS(U401:U1398,"25x",W401:W1398,"Long")),"Sin Datos")</f>
        <v>Sin Datos</v>
      </c>
      <c r="AG403" s="27" t="str">
        <f>IFERROR((COUNTIFS(U401:U1398,"25x",W401:W1398,"Short",X401:X1398,"Ganado"))/(COUNTIFS(U401:U1398,"25x",W401:W1398,"Short")),"Sin Datos")</f>
        <v>Sin Datos</v>
      </c>
      <c r="AH403" s="4" t="str">
        <f>IFERROR((COUNTIFS(U401:U1398,"25x",X401:X1398,"Ganado"))/(AC403),"Sin Datos")</f>
        <v>Sin Datos</v>
      </c>
    </row>
    <row r="404" spans="18:34" ht="15.75" x14ac:dyDescent="0.25">
      <c r="R404" s="27" t="str">
        <f>IFERROR((COUNTIFS(I401:I1398,"10x",J401:J1398,"Ida",L401:L1398,"Ganado")+(COUNTIFS(I401:I1398,"10x",J401:J1398,"Ida",L401:L1398,"Break Even")))/(COUNTIFS(I401:I1398,"10x",J401:J1398,"Ida")),"Sin Datos")</f>
        <v>Sin Datos</v>
      </c>
      <c r="S404" s="27" t="str">
        <f>IFERROR((COUNTIFS(I401:I1398,"10x",J401:J1398,"Vuelta",L401:L1398,"Ganado")+(COUNTIFS(I401:I1398,"10x",J401:J1398,"Vuelta",L401:L1398,"Break Even")))/(COUNTIFS(I401:I1398,"10x",J401:J1398,"Vuelta")),"Sin Datos")</f>
        <v>Sin Datos</v>
      </c>
      <c r="T404" s="27" t="str">
        <f>IFERROR((COUNTIFS(I401:I1398,"10x",K401:K1398,"Long",L401:L1398,"Ganado")+(COUNTIFS(I401:I1398,"10x",K401:K1398,"Long",L401:L1398,"Break Even")))/(COUNTIFS(I401:I1398,"10x",K401:K1398,"Long")),"Sin Datos")</f>
        <v>Sin Datos</v>
      </c>
      <c r="U404" s="27" t="str">
        <f>IFERROR((COUNTIFS(I401:I1398,"10x",K401:K1398,"Short",L401:L1398,"Ganado")+(COUNTIFS(I401:I1398,"10x",K401:K1398,"Short",L401:L1398,"Break Even")))/(COUNTIFS(I401:I1398,"10x",K401:K1398,"Short")),"Sin Datos")</f>
        <v>Sin Datos</v>
      </c>
      <c r="V404" s="4" t="str">
        <f>IFERROR((COUNTIFS(I401:I1398,"10x",L401:L1398,"Ganado")+(COUNTIFS(I401:I1398,"10x",L401:L1398,"Break Even")))/(Q404),"Sin Datos")</f>
        <v>Sin Datos</v>
      </c>
      <c r="X404" s="27" t="str">
        <f>IFERROR((COUNTIFS(O401:O1398,"10x",P401:P1398,"Ida",R401:R1398,"Ganado"))/(COUNTIFS(O401:O1398,"10x",P401:P1398,"Ida")-(COUNTIFS(O401:O1398,"10x",P401:P1398,"Ida",R401:R1398,"Break Even"))),"Sin Datos")</f>
        <v>Sin Datos</v>
      </c>
      <c r="Y404" s="27" t="str">
        <f>IFERROR((COUNTIFS(O401:O1398,"10x",P401:P1398,"Vuelta",R401:R1398,"Ganado"))/(COUNTIFS(O401:O1398,"10x",P401:P1398,"Vuelta")-(COUNTIFS(O401:O1398,"10x",P401:P1398,"Vuelta",R401:R1398,"Break Even"))),"Sin Datos")</f>
        <v>Sin Datos</v>
      </c>
      <c r="Z404" s="27" t="str">
        <f>IFERROR((COUNTIFS(O401:O1398,"10x",Q401:Q1398,"Long",R401:R1398,"Ganado"))/(COUNTIFS(O401:O1398,"10x",Q401:Q1398,"Long")-(COUNTIFS(O401:O1398,"10x",Q401:Q1398,"Long",R401:R1398,"Break Even"))),"Sin Datos")</f>
        <v>Sin Datos</v>
      </c>
      <c r="AA404" s="27" t="str">
        <f>IFERROR((COUNTIFS(O401:O1398,"10x",Q401:Q1398,"Short",R401:R1398,"Ganado"))/(COUNTIFS(O401:O1398,"10x",Q401:Q1398,"Short")-(COUNTIFS(O401:O1398,"10x",Q401:Q1398,"Short",R401:R1398,"Break Even"))),"Sin Datos")</f>
        <v>Sin Datos</v>
      </c>
      <c r="AB404" s="4" t="str">
        <f>IFERROR((COUNTIFS(O401:O1398,"10x",R401:R1398,"Ganado"))/((W404)-(COUNTIFS(O401:O1398,"10x",R401:R1398,"Break Even"))),"Sin Datos")</f>
        <v>Sin Datos</v>
      </c>
      <c r="AD404" s="27" t="str">
        <f>IFERROR((COUNTIFS(U401:U1398,"10x",V401:V1398,"Ida",X401:X1398,"Ganado"))/(COUNTIFS(U401:U1398,"10x",V401:V1398,"Ida")),"Sin Datos")</f>
        <v>Sin Datos</v>
      </c>
      <c r="AE404" s="27" t="str">
        <f>IFERROR((COUNTIFS(U401:U1398,"10x",V401:V1398,"Vuelta",X401:X1398,"Ganado"))/(COUNTIFS(U401:U1398,"10x",V401:V1398,"Vuelta")),"Sin Datos")</f>
        <v>Sin Datos</v>
      </c>
      <c r="AF404" s="27" t="str">
        <f>IFERROR((COUNTIFS(U401:U1398,"10x",W401:W1398,"Long",X401:X1398,"Ganado"))/(COUNTIFS(U401:U1398,"10x",W401:W1398,"Long")),"Sin Datos")</f>
        <v>Sin Datos</v>
      </c>
      <c r="AG404" s="27" t="str">
        <f>IFERROR((COUNTIFS(U401:U1398,"10x",W401:W1398,"Short",X401:X1398,"Ganado"))/(COUNTIFS(U401:U1398,"10x",W401:W1398,"Short")),"Sin Datos")</f>
        <v>Sin Datos</v>
      </c>
      <c r="AH404" s="4" t="str">
        <f>IFERROR((COUNTIFS(U401:U1398,"10x",X401:X1398,"Ganado"))/(AC404),"Sin Datos")</f>
        <v>Sin Datos</v>
      </c>
    </row>
    <row r="405" spans="18:34" ht="15.75" x14ac:dyDescent="0.25">
      <c r="R405" s="27" t="str">
        <f>IFERROR((COUNTIFS(I401:I1398,"5x",J401:J1398,"Ida",L401:L1398,"Ganado")+(COUNTIFS(I401:I1398,"5x",J401:J1398,"Ida",L401:L1398,"Break Even")))/(COUNTIFS(I401:I1398,"5x",J401:J1398,"Ida")),"Sin Datos")</f>
        <v>Sin Datos</v>
      </c>
      <c r="S405" s="27" t="str">
        <f>IFERROR((COUNTIFS(I401:I1398,"5x",J401:J1398,"Vuelta",L401:L1398,"Ganado")+(COUNTIFS(I401:I1398,"5x",J401:J1398,"Vuelta",L401:L1398,"Break Even")))/(COUNTIFS(I401:I1398,"5x",J401:J1398,"Vuelta")),"Sin Datos")</f>
        <v>Sin Datos</v>
      </c>
      <c r="T405" s="27" t="str">
        <f>IFERROR((COUNTIFS(I401:I1398,"5x",K401:K1398,"Long",L401:L1398,"Ganado")+(COUNTIFS(I401:I1398,"5x",K401:K1398,"Long",L401:L1398,"Break Even")))/(COUNTIFS(I401:I1398,"5x",K401:K1398,"Long")),"Sin Datos")</f>
        <v>Sin Datos</v>
      </c>
      <c r="U405" s="27" t="str">
        <f>IFERROR((COUNTIFS(I401:I1398,"5x",K401:K1398,"Short",L401:L1398,"Ganado")+(COUNTIFS(I401:I1398,"5x",K401:K1398,"Short",L401:L1398,"Break Even")))/(COUNTIFS(I401:I1398,"5x",K401:K1398,"Short")),"Sin Datos")</f>
        <v>Sin Datos</v>
      </c>
      <c r="V405" s="4" t="str">
        <f>IFERROR((COUNTIFS(I401:I1398,"5x",L401:L1398,"Ganado")+(COUNTIFS(I401:I1398,"5x",L401:L1398,"Break Even")))/(Q405),"Sin Datos")</f>
        <v>Sin Datos</v>
      </c>
      <c r="X405" s="27" t="str">
        <f>IFERROR((COUNTIFS(O401:O1398,"5x",P401:P1398,"Ida",R401:R1398,"Ganado"))/(COUNTIFS(O401:O1398,"5x",P401:P1398,"Ida")-(COUNTIFS(O401:O1398,"5x",P401:P1398,"Ida",R401:R1398,"Break Even"))),"Sin Datos")</f>
        <v>Sin Datos</v>
      </c>
      <c r="Y405" s="27" t="str">
        <f>IFERROR((COUNTIFS(O401:O1398,"5x",P401:P1398,"Vuelta",R401:R1398,"Ganado"))/(COUNTIFS(O401:O1398,"5x",P401:P1398,"Vuelta")-(COUNTIFS(O401:O1398,"5x",P401:P1398,"Vuelta",R401:R1398,"Break Even"))),"Sin Datos")</f>
        <v>Sin Datos</v>
      </c>
      <c r="Z405" s="27" t="str">
        <f>IFERROR((COUNTIFS(O401:O1398,"5x",Q401:Q1398,"Long",R401:R1398,"Ganado"))/(COUNTIFS(O401:O1398,"5x",Q401:Q1398,"Long")-(COUNTIFS(O401:O1398,"5x",Q401:Q1398,"Long",R401:R1398,"Break Even"))),"Sin Datos")</f>
        <v>Sin Datos</v>
      </c>
      <c r="AA405" s="27" t="str">
        <f>IFERROR((COUNTIFS(O401:O1398,"5x",Q401:Q1398,"Short",R401:R1398,"Ganado"))/(COUNTIFS(O401:O1398,"5x",Q401:Q1398,"Short")-(COUNTIFS(O401:O1398,"5x",Q401:Q1398,"Short",R401:R1398,"Break Even"))),"Sin Datos")</f>
        <v>Sin Datos</v>
      </c>
      <c r="AB405" s="4" t="str">
        <f>IFERROR((COUNTIFS(O401:O1398,"5x",R401:R1398,"Ganado"))/((W405)-(COUNTIFS(O401:O1398,"5x",R401:R1398,"Break Even"))),"Sin Datos")</f>
        <v>Sin Datos</v>
      </c>
      <c r="AD405" s="27" t="str">
        <f>IFERROR((COUNTIFS(U401:U1398,"5x",V401:V1398,"Ida",X401:X1398,"Ganado"))/(COUNTIFS(U401:U1398,"5x",V401:V1398,"Ida")),"Sin Datos")</f>
        <v>Sin Datos</v>
      </c>
      <c r="AE405" s="27" t="str">
        <f>IFERROR((COUNTIFS(U401:U1398,"5x",V401:V1398,"Vuelta",X401:X1398,"Ganado"))/(COUNTIFS(U401:U1398,"5x",V401:V1398,"Vuelta")),"Sin Datos")</f>
        <v>Sin Datos</v>
      </c>
      <c r="AF405" s="27" t="str">
        <f>IFERROR((COUNTIFS(U401:U1398,"5x",W401:W1398,"Long",X401:X1398,"Ganado"))/(COUNTIFS(U401:U1398,"5x",W401:W1398,"Long")),"Sin Datos")</f>
        <v>Sin Datos</v>
      </c>
      <c r="AG405" s="27" t="str">
        <f>IFERROR((COUNTIFS(U401:U1398,"5x",W401:W1398,"Short",X401:X1398,"Ganado"))/(COUNTIFS(U401:U1398,"5x",W401:W1398,"Short")),"Sin Datos")</f>
        <v>Sin Datos</v>
      </c>
      <c r="AH405" s="4" t="str">
        <f>IFERROR((COUNTIFS(U401:U1398,"5x",X401:X1398,"Ganado"))/(AC405),"Sin Datos")</f>
        <v>Sin Datos</v>
      </c>
    </row>
    <row r="406" spans="18:34" ht="15.75" x14ac:dyDescent="0.25">
      <c r="R406" s="27" t="str">
        <f>IFERROR((COUNTIFS(I401:I1398,"BatiBot",J401:J1398,"Ida",L401:L1398,"Ganado")+(COUNTIFS(I401:I1398,"BatiBot",J401:J1398,"Ida",L401:L1398,"Break Even")))/(COUNTIFS(I401:I1398,"BatiBot",J401:J1398,"Ida")),"Sin Datos")</f>
        <v>Sin Datos</v>
      </c>
      <c r="S406" s="27" t="str">
        <f>IFERROR((COUNTIFS(I401:I1398,"BatiBot",J401:J1398,"Vuelta",L401:L1398,"Ganado")+(COUNTIFS(I401:I1398,"BatiBot",J401:J1398,"Vuelta",L401:L1398,"Break Even")))/(COUNTIFS(I401:I1398,"BatiBot",J401:J1398,"Vuelta")),"Sin Datos")</f>
        <v>Sin Datos</v>
      </c>
      <c r="T406" s="27" t="str">
        <f>IFERROR((COUNTIFS(I401:I1398,"BatiBot",K401:K1398,"Long",L401:L1398,"Ganado")+(COUNTIFS(I401:I1398,"BatiBot",K401:K1398,"Long",L401:L1398,"Break Even")))/(COUNTIFS(I401:I1398,"BatiBot",K401:K1398,"Long")),"Sin Datos")</f>
        <v>Sin Datos</v>
      </c>
      <c r="U406" s="27" t="str">
        <f>IFERROR((COUNTIFS(I401:I1398,"BatiBot",K401:K1398,"Short",L401:L1398,"Ganado")+(COUNTIFS(I401:I1398,"BatiBot",K401:K1398,"Short",L401:L1398,"Break Even")))/(COUNTIFS(I401:I1398,"BatiBot",K401:K1398,"Short")),"Sin Datos")</f>
        <v>Sin Datos</v>
      </c>
      <c r="V406" s="4" t="str">
        <f>IFERROR((COUNTIFS(I401:I1398,"BatiBot",L401:L1398,"Ganado")+(COUNTIFS(I401:I1398,"BatiBot",L401:L1398,"Break Even")))/(Q406),"Sin Datos")</f>
        <v>Sin Datos</v>
      </c>
      <c r="X406" s="27" t="str">
        <f>IFERROR((COUNTIFS(O401:O1398,"BatiBot",P401:P1398,"Ida",R401:R1398,"Ganado"))/(COUNTIFS(O401:O1398,"BatiBot",P401:P1398,"Ida")-(COUNTIFS(O401:O1398,"BatiBot",P401:P1398,"Ida",R401:R1398,"Break Even"))),"Sin Datos")</f>
        <v>Sin Datos</v>
      </c>
      <c r="Y406" s="27" t="str">
        <f>IFERROR((COUNTIFS(O401:O1398,"BatiBot",P401:P1398,"Vuelta",R401:R1398,"Ganado"))/(COUNTIFS(O401:O1398,"BatiBot",P401:P1398,"Vuelta")-(COUNTIFS(O401:O1398,"BatiBot",P401:P1398,"Vuelta",R401:R1398,"Break Even"))),"Sin Datos")</f>
        <v>Sin Datos</v>
      </c>
      <c r="Z406" s="27" t="str">
        <f>IFERROR((COUNTIFS(O401:O1398,"BatiBot",Q401:Q1398,"Long",R401:R1398,"Ganado"))/(COUNTIFS(O401:O1398,"BatiBot",Q401:Q1398,"Long")-(COUNTIFS(O401:O1398,"BatiBot",Q401:Q1398,"Long",R401:R1398,"Break Even"))),"Sin Datos")</f>
        <v>Sin Datos</v>
      </c>
      <c r="AA406" s="27" t="str">
        <f>IFERROR((COUNTIFS(O401:O1398,"BatiBot",Q401:Q1398,"Short",R401:R1398,"Ganado"))/(COUNTIFS(O401:O1398,"BatiBot",Q401:Q1398,"Short")-(COUNTIFS(O401:O1398,"BatiBot",Q401:Q1398,"Short",R401:R1398,"Break Even"))),"Sin Datos")</f>
        <v>Sin Datos</v>
      </c>
      <c r="AB406" s="4" t="str">
        <f>IFERROR((COUNTIFS(O401:O1398,"BatiBot",R401:R1398,"Ganado"))/((W406)-(COUNTIFS(O401:O1398,"BatiBot",R401:R1398,"Break Even"))),"Sin Datos")</f>
        <v>Sin Datos</v>
      </c>
      <c r="AD406" s="27" t="str">
        <f>IFERROR((COUNTIFS(U401:U1398,"BatiBot",V401:V1398,"Ida",X401:X1398,"Ganado"))/(COUNTIFS(U401:U1398,"BatiBot",V401:V1398,"Ida")),"Sin Datos")</f>
        <v>Sin Datos</v>
      </c>
      <c r="AE406" s="27" t="str">
        <f>IFERROR((COUNTIFS(U401:U1398,"BatiBot",V401:V1398,"Vuelta",X401:X1398,"Ganado"))/(COUNTIFS(U401:U1398,"BatiBot",V401:V1398,"Vuelta")),"Sin Datos")</f>
        <v>Sin Datos</v>
      </c>
      <c r="AF406" s="27" t="str">
        <f>IFERROR((COUNTIFS(U401:U1398,"BatiBot",W401:W1398,"Long",X401:X1398,"Ganado"))/(COUNTIFS(U401:U1398,"BatiBot",W401:W1398,"Long")),"Sin Datos")</f>
        <v>Sin Datos</v>
      </c>
      <c r="AG406" s="27" t="str">
        <f>IFERROR((COUNTIFS(U401:U1398,"BatiBot",W401:W1398,"Short",X401:X1398,"Ganado"))/(COUNTIFS(U401:U1398,"BatiBot",W401:W1398,"Short")),"Sin Datos")</f>
        <v>Sin Datos</v>
      </c>
      <c r="AH406" s="4" t="str">
        <f>IFERROR((COUNTIFS(U401:U1398,"BatiBot",X401:X1398,"Ganado"))/(AC406),"Sin Datos")</f>
        <v>Sin Datos</v>
      </c>
    </row>
    <row r="407" spans="18:34" ht="15.75" x14ac:dyDescent="0.25">
      <c r="R407" s="27" t="str">
        <f>IFERROR((COUNTIFS(I401:I1398,"WolfiBot",J401:J1398,"Ida",L401:L1398,"Ganado")+(COUNTIFS(I401:I1398,"WolfiBot",J401:J1398,"Ida",L401:L1398,"Break Even")))/(COUNTIFS(I401:I1398,"WolfiBot",J401:J1398,"Ida")),"Sin Datos")</f>
        <v>Sin Datos</v>
      </c>
      <c r="S407" s="27" t="str">
        <f>IFERROR((COUNTIFS(I401:I1398,"WolfiBot",J401:J1398,"Vuelta",L401:L1398,"Ganado")+(COUNTIFS(I401:I1398,"WolfiBot",J401:J1398,"Vuelta",L401:L1398,"Break Even")))/(COUNTIFS(I401:I1398,"WolfiBot",J401:J1398,"Vuelta")),"Sin Datos")</f>
        <v>Sin Datos</v>
      </c>
      <c r="T407" s="27" t="str">
        <f>IFERROR((COUNTIFS(I401:I1398,"WolfiBot",K401:K1398,"Long",L401:L1398,"Ganado")+(COUNTIFS(I401:I1398,"WolfiBot",K401:K1398,"Long",L401:L1398,"Break Even")))/(COUNTIFS(I401:I1398,"WolfiBot",K401:K1398,"Long")),"Sin Datos")</f>
        <v>Sin Datos</v>
      </c>
      <c r="U407" s="27" t="str">
        <f>IFERROR((COUNTIFS(I401:I1398,"WolfiBot",K401:K1398,"Short",L401:L1398,"Ganado")+(COUNTIFS(I401:I1398,"WolfiBot",K401:K1398,"Short",L401:L1398,"Break Even")))/(COUNTIFS(I401:I1398,"WolfiBot",K401:K1398,"Short")),"Sin Datos")</f>
        <v>Sin Datos</v>
      </c>
      <c r="V407" s="4" t="str">
        <f>IFERROR((COUNTIFS(I401:I1398,"WolfiBot",L401:L1398,"Ganado")+(COUNTIFS(I401:I1398,"WolfiBot",L401:L1398,"Break Even")))/(Q407),"Sin Datos")</f>
        <v>Sin Datos</v>
      </c>
      <c r="X407" s="27" t="str">
        <f>IFERROR((COUNTIFS(O401:O1398,"WolfiBot",P401:P1398,"Ida",R401:R1398,"Ganado"))/(COUNTIFS(O401:O1398,"WolfiBot",P401:P1398,"Ida")-(COUNTIFS(O401:O1398,"WolfiBot",P401:P1398,"Ida",R401:R1398,"Break Even"))),"Sin Datos")</f>
        <v>Sin Datos</v>
      </c>
      <c r="Y407" s="27" t="str">
        <f>IFERROR((COUNTIFS(O401:O1398,"WolfiBot",P401:P1398,"Vuelta",R401:R1398,"Ganado"))/(COUNTIFS(O401:O1398,"WolfiBot",P401:P1398,"Vuelta")-(COUNTIFS(O401:O1398,"WolfiBot",P401:P1398,"Vuelta",R401:R1398,"Break Even"))),"Sin Datos")</f>
        <v>Sin Datos</v>
      </c>
      <c r="Z407" s="27" t="str">
        <f>IFERROR((COUNTIFS(O401:O1398,"WolfiBot",Q401:Q1398,"Long",R401:R1398,"Ganado"))/(COUNTIFS(O401:O1398,"WolfiBot",Q401:Q1398,"Long")-(COUNTIFS(O401:O1398,"WolfiBot",Q401:Q1398,"Long",R401:R1398,"Break Even"))),"Sin Datos")</f>
        <v>Sin Datos</v>
      </c>
      <c r="AA407" s="27" t="str">
        <f>IFERROR((COUNTIFS(O401:O1398,"WolfiBot",Q401:Q1398,"Short",R401:R1398,"Ganado"))/(COUNTIFS(O401:O1398,"WolfiBot",Q401:Q1398,"Short")-(COUNTIFS(O401:O1398,"WolfiBot",Q401:Q1398,"Short",R401:R1398,"Break Even"))),"Sin Datos")</f>
        <v>Sin Datos</v>
      </c>
      <c r="AB407" s="4" t="str">
        <f>IFERROR((COUNTIFS(O401:O1398,"WolfiBot",R401:R1398,"Ganado"))/((W407)-(COUNTIFS(O401:O1398,"WolfiBot",R401:R1398,"Break Even"))),"Sin Datos")</f>
        <v>Sin Datos</v>
      </c>
      <c r="AD407" s="27" t="str">
        <f>IFERROR((COUNTIFS(U401:U1398,"WolfiBot",V401:V1398,"Ida",X401:X1398,"Ganado"))/(COUNTIFS(U401:U1398,"WolfiBot",V401:V1398,"Ida")),"Sin Datos")</f>
        <v>Sin Datos</v>
      </c>
      <c r="AE407" s="27" t="str">
        <f>IFERROR((COUNTIFS(U401:U1398,"WolfiBot",V401:V1398,"Vuelta",X401:X1398,"Ganado"))/(COUNTIFS(U401:U1398,"WolfiBot",V401:V1398,"Vuelta")),"Sin Datos")</f>
        <v>Sin Datos</v>
      </c>
      <c r="AF407" s="27" t="str">
        <f>IFERROR((COUNTIFS(U401:U1398,"WolfiBot",W401:W1398,"Long",X401:X1398,"Ganado"))/(COUNTIFS(U401:U1398,"WolfiBot",W401:W1398,"Long")),"Sin Datos")</f>
        <v>Sin Datos</v>
      </c>
      <c r="AG407" s="27" t="str">
        <f>IFERROR((COUNTIFS(U401:U1398,"WolfiBot",W401:W1398,"Short",X401:X1398,"Ganado"))/(COUNTIFS(U401:U1398,"WolfiBot",W401:W1398,"Short")),"Sin Datos")</f>
        <v>Sin Datos</v>
      </c>
      <c r="AH407" s="4" t="str">
        <f>IFERROR((COUNTIFS(U401:U1398,"WolfiBot",X401:X1398,"Ganado"))/(AC407),"Sin Datos")</f>
        <v>Sin Datos</v>
      </c>
    </row>
    <row r="408" spans="18:34" ht="15.75" x14ac:dyDescent="0.25">
      <c r="R408" s="27" t="str">
        <f>IFERROR((COUNTIFS(I401:I1398,"CondorBot",J401:J1398,"Ida",L401:L1398,"Ganado")+(COUNTIFS(I401:I1398,"CondorBot",J401:J1398,"Ida",L401:L1398,"Break Even")))/(COUNTIFS(I401:I1398,"CondorBot",J401:J1398,"Ida")),"Sin Datos")</f>
        <v>Sin Datos</v>
      </c>
      <c r="S408" s="27" t="str">
        <f>IFERROR((COUNTIFS(I401:I1398,"CondorBot",J401:J1398,"Vuelta",L401:L1398,"Ganado")+(COUNTIFS(I401:I1398,"CondorBot",J401:J1398,"Vuelta",L401:L1398,"Break Even")))/(COUNTIFS(I401:I1398,"CondorBot",J401:J1398,"Vuelta")),"Sin Datos")</f>
        <v>Sin Datos</v>
      </c>
      <c r="T408" s="27" t="str">
        <f>IFERROR((COUNTIFS(I401:I1398,"CondorBot",K401:K1398,"Long",L401:L1398,"Ganado")+(COUNTIFS(I401:I1398,"CondorBot",K401:K1398,"Long",L401:L1398,"Break Even")))/(COUNTIFS(I401:I1398,"CondorBot",K401:K1398,"Long")),"Sin Datos")</f>
        <v>Sin Datos</v>
      </c>
      <c r="U408" s="27" t="str">
        <f>IFERROR((COUNTIFS(I401:I1398,"CondorBot",K401:K1398,"Short",L401:L1398,"Ganado")+(COUNTIFS(I401:I1398,"CondorBot",K401:K1398,"Short",L401:L1398,"Break Even")))/(COUNTIFS(I401:I1398,"CondorBot",K401:K1398,"Short")),"Sin Datos")</f>
        <v>Sin Datos</v>
      </c>
      <c r="V408" s="4" t="str">
        <f>IFERROR((COUNTIFS(I401:I1398,"CondorBot",L401:L1398,"Ganado")+(COUNTIFS(I401:I1398,"CondorBot",L401:L1398,"Break Even")))/(Q408),"Sin Datos")</f>
        <v>Sin Datos</v>
      </c>
      <c r="X408" s="27" t="str">
        <f>IFERROR((COUNTIFS(O401:O1398,"CondorBot",P401:P1398,"Ida",R401:R1398,"Ganado"))/(COUNTIFS(O401:O1398,"CondorBot",P401:P1398,"Ida")-(COUNTIFS(O401:O1398,"CondorBot",P401:P1398,"Ida",R401:R1398,"Break Even"))),"Sin Datos")</f>
        <v>Sin Datos</v>
      </c>
      <c r="Y408" s="27" t="str">
        <f>IFERROR((COUNTIFS(O401:O1398,"CondorBot",P401:P1398,"Vuelta",R401:R1398,"Ganado"))/(COUNTIFS(O401:O1398,"CondorBot",P401:P1398,"Vuelta")-(COUNTIFS(O401:O1398,"CondorBot",P401:P1398,"Vuelta",R401:R1398,"Break Even"))),"Sin Datos")</f>
        <v>Sin Datos</v>
      </c>
      <c r="Z408" s="27" t="str">
        <f>IFERROR((COUNTIFS(O401:O1398,"CondorBot",Q401:Q1398,"Long",R401:R1398,"Ganado"))/(COUNTIFS(O401:O1398,"CondorBot",Q401:Q1398,"Long")-(COUNTIFS(O401:O1398,"CondorBot",Q401:Q1398,"Long",R401:R1398,"Break Even"))),"Sin Datos")</f>
        <v>Sin Datos</v>
      </c>
      <c r="AA408" s="27" t="str">
        <f>IFERROR((COUNTIFS(O401:O1398,"CondorBot",Q401:Q1398,"Short",R401:R1398,"Ganado"))/(COUNTIFS(O401:O1398,"CondorBot",Q401:Q1398,"Short")-(COUNTIFS(O401:O1398,"CondorBot",Q401:Q1398,"Short",R401:R1398,"Break Even"))),"Sin Datos")</f>
        <v>Sin Datos</v>
      </c>
      <c r="AB408" s="4" t="str">
        <f>IFERROR((COUNTIFS(O401:O1398,"CondorBot",R401:R1398,"Ganado"))/((W408)-(COUNTIFS(O401:O1398,"CondorBot",R401:R1398,"Break Even"))),"Sin Datos")</f>
        <v>Sin Datos</v>
      </c>
      <c r="AD408" s="27" t="str">
        <f>IFERROR((COUNTIFS(U401:U1398,"CondorBot",V401:V1398,"Ida",X401:X1398,"Ganado"))/(COUNTIFS(U401:U1398,"CondorBot",V401:V1398,"Ida")),"Sin Datos")</f>
        <v>Sin Datos</v>
      </c>
      <c r="AE408" s="27" t="str">
        <f>IFERROR((COUNTIFS(U401:U1398,"CondorBot",V401:V1398,"Vuelta",X401:X1398,"Ganado"))/(COUNTIFS(U401:U1398,"CondorBot",V401:V1398,"Vuelta")),"Sin Datos")</f>
        <v>Sin Datos</v>
      </c>
      <c r="AF408" s="27" t="str">
        <f>IFERROR((COUNTIFS(U401:U1398,"CondorBot",W401:W1398,"Long",X401:X1398,"Ganado"))/(COUNTIFS(U401:U1398,"CondorBot",W401:W1398,"Long")),"Sin Datos")</f>
        <v>Sin Datos</v>
      </c>
      <c r="AG408" s="27" t="str">
        <f>IFERROR((COUNTIFS(U401:U1398,"CondorBot",W401:W1398,"Short",X401:X1398,"Ganado"))/(COUNTIFS(U401:U1398,"CondorBot",W401:W1398,"Short")),"Sin Datos")</f>
        <v>Sin Datos</v>
      </c>
      <c r="AH408" s="4" t="str">
        <f>IFERROR((COUNTIFS(U401:U1398,"CondorBot",X401:X1398,"Ganado"))/(AC408),"Sin Datos")</f>
        <v>Sin Datos</v>
      </c>
    </row>
    <row r="409" spans="18:34" ht="15.75" x14ac:dyDescent="0.25">
      <c r="R409" s="27" t="str">
        <f>IFERROR((COUNTIFS(I401:I1398,"Otras",J401:J1398,"Ida",L401:L1398,"Ganado")+(COUNTIFS(I401:I1398,"Otras",J401:J1398,"Ida",L401:L1398,"Break Even")))/(COUNTIFS(I401:I1398,"Otras",J401:J1398,"Ida")),"Sin Datos")</f>
        <v>Sin Datos</v>
      </c>
      <c r="S409" s="27" t="str">
        <f>IFERROR((COUNTIFS(I401:I1398,"Otras",J401:J1398,"Vuelta",L401:L1398,"Ganado")+(COUNTIFS(I401:I1398,"Otras",J401:J1398,"Vuelta",L401:L1398,"Break Even")))/(COUNTIFS(I401:I1398,"Otras",J401:J1398,"Vuelta")),"Sin Datos")</f>
        <v>Sin Datos</v>
      </c>
      <c r="T409" s="27" t="str">
        <f>IFERROR((COUNTIFS(I401:I1398,"Otras",K401:K1398,"Long",L401:L1398,"Ganado")+(COUNTIFS(I401:I1398,"Otras",K401:K1398,"Long",L401:L1398,"Break Even")))/(COUNTIFS(I401:I1398,"Otras",K401:K1398,"Long")),"Sin Datos")</f>
        <v>Sin Datos</v>
      </c>
      <c r="U409" s="27" t="str">
        <f>IFERROR((COUNTIFS(I401:I1398,"Otras",K401:K1398,"Short",L401:L1398,"Ganado")+(COUNTIFS(I401:I1398,"Otras",K401:K1398,"Short",L401:L1398,"Break Even")))/(COUNTIFS(I401:I1398,"Otras",K401:K1398,"Short")),"Sin Datos")</f>
        <v>Sin Datos</v>
      </c>
      <c r="V409" s="4" t="str">
        <f>IFERROR((COUNTIFS(I401:I1398,"Otras",L401:L1398,"Ganado")+(COUNTIFS(I401:I1398,"Otras",L401:L1398,"Break Even")))/(Q409),"Sin Datos")</f>
        <v>Sin Datos</v>
      </c>
      <c r="X409" s="27" t="str">
        <f>IFERROR((COUNTIFS(O401:O1398,"Otras",P401:P1398,"Ida",R401:R1398,"Ganado"))/(COUNTIFS(O401:O1398,"Otras",P401:P1398,"Ida")-(COUNTIFS(O401:O1398,"Otras",P401:P1398,"Ida",R401:R1398,"Break Even"))),"Sin Datos")</f>
        <v>Sin Datos</v>
      </c>
      <c r="Y409" s="27" t="str">
        <f>IFERROR((COUNTIFS(O401:O1398,"Otras",P401:P1398,"Vuelta",R401:R1398,"Ganado"))/(COUNTIFS(O401:O1398,"Otras",P401:P1398,"Vuelta")-(COUNTIFS(O401:O1398,"Otras",P401:P1398,"Vuelta",R401:R1398,"Break Even"))),"Sin Datos")</f>
        <v>Sin Datos</v>
      </c>
      <c r="Z409" s="27" t="str">
        <f>IFERROR((COUNTIFS(O401:O1398,"Otras",Q401:Q1398,"Long",R401:R1398,"Ganado"))/(COUNTIFS(O401:O1398,"Otras",Q401:Q1398,"Long")-(COUNTIFS(O401:O1398,"Otras",Q401:Q1398,"Long",R401:R1398,"Break Even"))),"Sin Datos")</f>
        <v>Sin Datos</v>
      </c>
      <c r="AA409" s="27" t="str">
        <f>IFERROR((COUNTIFS(O401:O1398,"Otras",Q401:Q1398,"Short",R401:R1398,"Ganado"))/(COUNTIFS(O401:O1398,"Otras",Q401:Q1398,"Short")-(COUNTIFS(O401:O1398,"Otras",Q401:Q1398,"Short",R401:R1398,"Break Even"))),"Sin Datos")</f>
        <v>Sin Datos</v>
      </c>
      <c r="AB409" s="4" t="str">
        <f>IFERROR((COUNTIFS(O401:O1398,"Otras",R401:R1398,"Ganado"))/((W409)-(COUNTIFS(O401:O1398,"Otras",R401:R1398,"Break Even"))),"Sin Datos")</f>
        <v>Sin Datos</v>
      </c>
      <c r="AD409" s="27" t="str">
        <f>IFERROR((COUNTIFS(U401:U1398,"Otras",V401:V1398,"Ida",X401:X1398,"Ganado"))/(COUNTIFS(U401:U1398,"Otras",V401:V1398,"Ida")),"Sin Datos")</f>
        <v>Sin Datos</v>
      </c>
      <c r="AE409" s="27" t="str">
        <f>IFERROR((COUNTIFS(U401:U1398,"Otras",V401:V1398,"Vuelta",X401:X1398,"Ganado"))/(COUNTIFS(U401:U1398,"Otras",V401:V1398,"Vuelta")),"Sin Datos")</f>
        <v>Sin Datos</v>
      </c>
      <c r="AF409" s="27" t="str">
        <f>IFERROR((COUNTIFS(U401:U1398,"Otras",W401:W1398,"Long",X401:X1398,"Ganado"))/(COUNTIFS(U401:U1398,"Otras",W401:W1398,"Long")),"Sin Datos")</f>
        <v>Sin Datos</v>
      </c>
      <c r="AG409" s="27" t="str">
        <f>IFERROR((COUNTIFS(U401:U1398,"Otras",W401:W1398,"Short",X401:X1398,"Ganado"))/(COUNTIFS(U401:U1398,"Otras",W401:W1398,"Short")),"Sin Datos")</f>
        <v>Sin Datos</v>
      </c>
      <c r="AH409" s="4" t="str">
        <f>IFERROR((COUNTIFS(U401:U1398,"Otras",X401:X1398,"Ganado"))/(AC409),"Sin Datos")</f>
        <v>Sin Datos</v>
      </c>
    </row>
    <row r="410" spans="18:34" ht="18.75" x14ac:dyDescent="0.25">
      <c r="R410" s="29" t="str">
        <f>IFERROR((COUNTIFS(J401:J1398,"Ida",L401:L1398,"Ganado")+(COUNTIFS(J401:J1398,"Ida",L401:L1398,"Break Even")))/(COUNTIFS(J401:J1398,"Ida")),"Sin Datos")</f>
        <v>Sin Datos</v>
      </c>
      <c r="S410" s="29" t="str">
        <f>IFERROR((COUNTIFS(J401:J1398,"Vuelta",L401:L1398,"Ganado")+(COUNTIFS(J401:J1398,"Vuelta",L401:L1398,"Break Even")))/(COUNTIFS(J401:J1398,"Vuelta")),"Sin Datos")</f>
        <v>Sin Datos</v>
      </c>
      <c r="T410" s="29" t="str">
        <f>IFERROR((COUNTIFS(K401:K1398,"Long",L401:L1398,"Ganado")+(COUNTIFS(K401:K1398,"Long",L401:L1398,"Break Even")))/(COUNTIFS(K401:K1398,"Long")),"Sin Datos")</f>
        <v>Sin Datos</v>
      </c>
      <c r="U410" s="29" t="str">
        <f>IFERROR((COUNTIFS(K401:K1398,"Short",L401:L1398,"Ganado")+(COUNTIFS(K401:K1398,"Short",L401:L1398,"Break Even")))/(COUNTIFS(K401:K1398,"Short")),"Sin Datos")</f>
        <v>Sin Datos</v>
      </c>
      <c r="V410" s="29" t="str">
        <f>IFERROR((COUNTIF(L401:L1398,"Ganado")+(COUNTIF(L401:L1398,"Break Even")))/(Q410),"Sin Datos")</f>
        <v>Sin Datos</v>
      </c>
      <c r="X410" s="29" t="str">
        <f>IFERROR((COUNTIFS(P401:P1398,"Ida",R401:R1398,"Ganado"))/(COUNTIFS(P401:P1398,"Ida")-(COUNTIFS(P401:P1398,"Ida",R401:R1398,"Break Even"))),"Sin Datos")</f>
        <v>Sin Datos</v>
      </c>
      <c r="Y410" s="29" t="str">
        <f>IFERROR((COUNTIFS(P401:P1398,"Vuelta",R401:R1398,"Ganado"))/(COUNTIFS(P401:P1398,"Vuelta")-(COUNTIFS(P401:P1398,"Vuelta",R401:R1398,"Break Even"))),"Sin Datos")</f>
        <v>Sin Datos</v>
      </c>
      <c r="Z410" s="29" t="str">
        <f>IFERROR((COUNTIFS(Q401:Q1398,"Long",R401:R1398,"Ganado"))/(COUNTIFS(Q401:Q1398,"Long")-(COUNTIFS(Q401:Q1398,"Long",R401:R1398,"Break Even"))),"Sin Datos")</f>
        <v>Sin Datos</v>
      </c>
      <c r="AA410" s="29" t="str">
        <f>IFERROR((COUNTIFS(Q401:Q1398,"Short",R401:R1398,"Ganado"))/(COUNTIFS(Q401:Q1398,"Short")-(COUNTIFS(Q401:Q1398,"Short",R401:R1398,"Break Even"))),"Sin Datos")</f>
        <v>Sin Datos</v>
      </c>
      <c r="AB410" s="29" t="str">
        <f>IFERROR((COUNTIF(R401:R1398,"Ganado"))/((W410)-(COUNTIF(R401:R1398,"Break Even"))),"Sin Datos")</f>
        <v>Sin Datos</v>
      </c>
      <c r="AD410" s="29" t="str">
        <f>IFERROR((COUNTIFS(V401:V1398,"Ida",X401:X1398,"Ganado"))/(COUNTIFS(V401:V1398,"Ida")),"Sin Datos")</f>
        <v>Sin Datos</v>
      </c>
      <c r="AE410" s="29" t="str">
        <f>IFERROR((COUNTIFS(V401:V1398,"Vuelta",X401:X1398,"Ganado"))/(COUNTIFS(V401:V1398,"Vuelta")),"Sin Datos")</f>
        <v>Sin Datos</v>
      </c>
      <c r="AF410" s="29" t="str">
        <f>IFERROR((COUNTIFS(W401:W1398,"Long",X401:X1398,"Ganado"))/(COUNTIFS(W401:W1398,"Long")),"Sin Datos")</f>
        <v>Sin Datos</v>
      </c>
      <c r="AG410" s="29" t="str">
        <f>IFERROR((COUNTIFS(W401:W1398,"Short",X401:X1398,"Ganado"))/(COUNTIFS(W401:W1398,"Short")),"Sin Datos")</f>
        <v>Sin Datos</v>
      </c>
      <c r="AH410" s="29" t="str">
        <f>IFERROR((COUNTIF(X401:X1398,"Ganado"))/(AC410),"Sin Datos")</f>
        <v>Sin Datos</v>
      </c>
    </row>
  </sheetData>
  <mergeCells count="4">
    <mergeCell ref="M13:N13"/>
    <mergeCell ref="R397:V398"/>
    <mergeCell ref="X397:AB398"/>
    <mergeCell ref="AD397:AH398"/>
  </mergeCells>
  <conditionalFormatting sqref="H2:H301">
    <cfRule type="containsText" dxfId="266" priority="28" operator="containsText" text="Short">
      <formula>NOT(ISERROR(SEARCH("Short",H2)))</formula>
    </cfRule>
    <cfRule type="containsText" dxfId="265" priority="29" operator="containsText" text="Long">
      <formula>NOT(ISERROR(SEARCH("Long",H2)))</formula>
    </cfRule>
  </conditionalFormatting>
  <conditionalFormatting sqref="I2:I301">
    <cfRule type="containsText" dxfId="264" priority="25" operator="containsText" text="Break Even">
      <formula>NOT(ISERROR(SEARCH("Break Even",I2)))</formula>
    </cfRule>
    <cfRule type="containsText" dxfId="263" priority="26" operator="containsText" text="Perdido">
      <formula>NOT(ISERROR(SEARCH("Perdido",I2)))</formula>
    </cfRule>
    <cfRule type="containsText" dxfId="262" priority="27" operator="containsText" text="Ganado">
      <formula>NOT(ISERROR(SEARCH("Ganado",I2)))</formula>
    </cfRule>
  </conditionalFormatting>
  <conditionalFormatting sqref="B8">
    <cfRule type="containsText" dxfId="261" priority="22" operator="containsText" text="Baja">
      <formula>NOT(ISERROR(SEARCH("Baja",B8)))</formula>
    </cfRule>
    <cfRule type="containsText" dxfId="260" priority="23" operator="containsText" text="Moderada">
      <formula>NOT(ISERROR(SEARCH("Moderada",B8)))</formula>
    </cfRule>
    <cfRule type="containsText" dxfId="259" priority="24" operator="containsText" text="Alta">
      <formula>NOT(ISERROR(SEARCH("Alta",B8)))</formula>
    </cfRule>
  </conditionalFormatting>
  <conditionalFormatting sqref="B13:B16">
    <cfRule type="cellIs" dxfId="258" priority="19" operator="between">
      <formula>0</formula>
      <formula>0.49</formula>
    </cfRule>
    <cfRule type="cellIs" dxfId="257" priority="20" operator="between">
      <formula>0.5</formula>
      <formula>0.65</formula>
    </cfRule>
    <cfRule type="cellIs" dxfId="256" priority="21" operator="between">
      <formula>0.66</formula>
      <formula>1</formula>
    </cfRule>
  </conditionalFormatting>
  <conditionalFormatting sqref="B17:B20">
    <cfRule type="cellIs" dxfId="255" priority="17" operator="lessThan">
      <formula>0</formula>
    </cfRule>
    <cfRule type="cellIs" dxfId="254" priority="18" operator="greaterThan">
      <formula>0</formula>
    </cfRule>
  </conditionalFormatting>
  <conditionalFormatting sqref="B2:B7">
    <cfRule type="cellIs" dxfId="253" priority="15" operator="lessThan">
      <formula>0</formula>
    </cfRule>
    <cfRule type="cellIs" dxfId="252" priority="16" operator="greaterThan">
      <formula>0</formula>
    </cfRule>
  </conditionalFormatting>
  <conditionalFormatting sqref="X401:AB410">
    <cfRule type="cellIs" dxfId="251" priority="12" operator="between">
      <formula>0.66</formula>
      <formula>1</formula>
    </cfRule>
    <cfRule type="cellIs" dxfId="250" priority="13" operator="between">
      <formula>0.5</formula>
      <formula>0.65</formula>
    </cfRule>
    <cfRule type="cellIs" dxfId="249" priority="14" operator="between">
      <formula>0</formula>
      <formula>0.49</formula>
    </cfRule>
  </conditionalFormatting>
  <conditionalFormatting sqref="R401:V410">
    <cfRule type="cellIs" dxfId="248" priority="9" operator="between">
      <formula>0.66</formula>
      <formula>1</formula>
    </cfRule>
    <cfRule type="cellIs" dxfId="247" priority="10" operator="between">
      <formula>0.5</formula>
      <formula>0.65</formula>
    </cfRule>
    <cfRule type="cellIs" dxfId="246" priority="11" operator="between">
      <formula>0</formula>
      <formula>0.49</formula>
    </cfRule>
  </conditionalFormatting>
  <conditionalFormatting sqref="AD401:AH410">
    <cfRule type="cellIs" dxfId="245" priority="6" operator="between">
      <formula>0.66</formula>
      <formula>1</formula>
    </cfRule>
    <cfRule type="cellIs" dxfId="244" priority="7" operator="between">
      <formula>0.5</formula>
      <formula>0.65</formula>
    </cfRule>
    <cfRule type="cellIs" dxfId="243" priority="8" operator="between">
      <formula>0</formula>
      <formula>0.49</formula>
    </cfRule>
  </conditionalFormatting>
  <conditionalFormatting sqref="O2:S11">
    <cfRule type="cellIs" dxfId="242" priority="3" operator="between">
      <formula>0.66</formula>
      <formula>1</formula>
    </cfRule>
    <cfRule type="cellIs" dxfId="241" priority="4" operator="between">
      <formula>0.5</formula>
      <formula>0.65</formula>
    </cfRule>
    <cfRule type="cellIs" dxfId="240" priority="5" operator="between">
      <formula>0</formula>
      <formula>0.49</formula>
    </cfRule>
  </conditionalFormatting>
  <conditionalFormatting sqref="J2:K301">
    <cfRule type="cellIs" dxfId="239" priority="1" operator="lessThan">
      <formula>0</formula>
    </cfRule>
    <cfRule type="cellIs" dxfId="238" priority="2" operator="greaterThan">
      <formula>0</formula>
    </cfRule>
  </conditionalFormatting>
  <dataValidations count="5">
    <dataValidation type="list" allowBlank="1" showErrorMessage="1" promptTitle="Seleccione" prompt="Seleccione" sqref="F2:F301" xr:uid="{00000000-0002-0000-0300-000000000000}">
      <formula1>$M$2:$M$10</formula1>
    </dataValidation>
    <dataValidation type="list" allowBlank="1" showErrorMessage="1" promptTitle="Seleccione" prompt="Seleccione" sqref="G2:G301" xr:uid="{00000000-0002-0000-0300-000001000000}">
      <formula1>"Ida,Vuelta"</formula1>
    </dataValidation>
    <dataValidation type="list" allowBlank="1" showInputMessage="1" showErrorMessage="1" sqref="E2:E301" xr:uid="{00000000-0002-0000-0300-000002000000}">
      <formula1>"1,2,3,4,5,6,7,8,9,10,11,12,13,14,15,16,17,18,19,20,21,22,23,24,25,26,27,28,29,30,31"</formula1>
    </dataValidation>
    <dataValidation type="list" allowBlank="1" showInputMessage="1" showErrorMessage="1" sqref="H2:H301" xr:uid="{00000000-0002-0000-0300-000003000000}">
      <formula1>"Long,Short"</formula1>
    </dataValidation>
    <dataValidation type="list" allowBlank="1" showInputMessage="1" showErrorMessage="1" sqref="B8" xr:uid="{00000000-0002-0000-0300-000004000000}">
      <formula1>"Alta,Moderada,Baja"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H410"/>
  <sheetViews>
    <sheetView zoomScaleNormal="100" workbookViewId="0">
      <selection activeCell="C1" sqref="C1"/>
    </sheetView>
  </sheetViews>
  <sheetFormatPr defaultColWidth="11.42578125" defaultRowHeight="15" x14ac:dyDescent="0.25"/>
  <cols>
    <col min="1" max="1" width="35.5703125" style="24" customWidth="1"/>
    <col min="2" max="2" width="12.28515625" style="24" bestFit="1" customWidth="1"/>
    <col min="3" max="3" width="4.42578125" style="24" customWidth="1"/>
    <col min="4" max="4" width="9.7109375" style="24" customWidth="1"/>
    <col min="5" max="5" width="9" style="24" customWidth="1"/>
    <col min="6" max="6" width="13" style="24" customWidth="1"/>
    <col min="7" max="7" width="10.7109375" style="24" customWidth="1"/>
    <col min="8" max="8" width="10.5703125" style="24" customWidth="1"/>
    <col min="9" max="9" width="12.5703125" style="24" customWidth="1"/>
    <col min="10" max="11" width="12.140625" style="24" customWidth="1"/>
    <col min="12" max="12" width="5" style="24" customWidth="1"/>
    <col min="13" max="13" width="19.85546875" style="24" customWidth="1"/>
    <col min="14" max="14" width="14.42578125" style="24" customWidth="1"/>
    <col min="15" max="15" width="13.28515625" style="24" customWidth="1"/>
    <col min="16" max="16" width="12" style="24" customWidth="1"/>
    <col min="17" max="17" width="13.42578125" style="24" customWidth="1"/>
    <col min="18" max="18" width="12" style="24" customWidth="1"/>
    <col min="19" max="19" width="18.5703125" style="24" customWidth="1"/>
    <col min="20" max="20" width="12.28515625" style="24" customWidth="1"/>
    <col min="21" max="21" width="12.42578125" style="24" customWidth="1"/>
    <col min="22" max="22" width="20.85546875" style="24" customWidth="1"/>
    <col min="23" max="16384" width="11.42578125" style="24"/>
  </cols>
  <sheetData>
    <row r="1" spans="1:19" ht="36" customHeight="1" x14ac:dyDescent="0.25">
      <c r="A1" s="7" t="s">
        <v>1</v>
      </c>
      <c r="B1" s="8"/>
      <c r="D1" s="13" t="s">
        <v>15</v>
      </c>
      <c r="E1" s="13" t="s">
        <v>13</v>
      </c>
      <c r="F1" s="13" t="s">
        <v>5</v>
      </c>
      <c r="G1" s="13" t="s">
        <v>21</v>
      </c>
      <c r="H1" s="13" t="s">
        <v>9</v>
      </c>
      <c r="I1" s="13" t="s">
        <v>11</v>
      </c>
      <c r="J1" s="13" t="s">
        <v>14</v>
      </c>
      <c r="K1" s="13" t="s">
        <v>44</v>
      </c>
      <c r="M1" s="25" t="s">
        <v>5</v>
      </c>
      <c r="N1" s="25" t="s">
        <v>3</v>
      </c>
      <c r="O1" s="25" t="s">
        <v>16</v>
      </c>
      <c r="P1" s="25" t="s">
        <v>17</v>
      </c>
      <c r="Q1" s="25" t="s">
        <v>7</v>
      </c>
      <c r="R1" s="25" t="s">
        <v>8</v>
      </c>
      <c r="S1" s="13" t="s">
        <v>0</v>
      </c>
    </row>
    <row r="2" spans="1:19" ht="15.75" x14ac:dyDescent="0.25">
      <c r="A2" s="2" t="s">
        <v>2</v>
      </c>
      <c r="B2" s="3">
        <f>SUM(B1,(SUM(J2:J999)))</f>
        <v>0</v>
      </c>
      <c r="D2" s="2">
        <v>1</v>
      </c>
      <c r="E2" s="6"/>
      <c r="F2" s="2"/>
      <c r="G2" s="2"/>
      <c r="H2" s="2"/>
      <c r="I2" s="2" t="str">
        <f>IF(J2="","",IF(J2&gt;3,"Ganado",IF(J2&lt;-3,"Perdido","Break Even")))</f>
        <v/>
      </c>
      <c r="J2" s="3"/>
      <c r="K2" s="5" t="str">
        <f>IFERROR(Tabla347[[#This Row],[USD]]/$B$1,"")</f>
        <v/>
      </c>
      <c r="M2" s="26" t="s">
        <v>4</v>
      </c>
      <c r="N2" s="26">
        <f>COUNTIFS(F2:F999,"100x")</f>
        <v>0</v>
      </c>
      <c r="O2" s="27" t="str">
        <f>IFERROR((COUNTIFS(F2:F999,"100x",G2:G999,"Ida",I2:I999,"Ganado"))/(COUNTIFS(F2:F999,"100x",G2:G999,"Ida")),"Sin Datos")</f>
        <v>Sin Datos</v>
      </c>
      <c r="P2" s="27" t="str">
        <f>IFERROR((COUNTIFS(F2:F999,"100x",G2:G999,"Vuelta",I2:I999,"Ganado"))/(COUNTIFS(F2:F999,"100x",G2:G999,"Vuelta")),"Sin Datos")</f>
        <v>Sin Datos</v>
      </c>
      <c r="Q2" s="27" t="str">
        <f>IFERROR((COUNTIFS(F2:F999,"100x",H2:H999,"Long",I2:I999,"Ganado"))/(COUNTIFS(F2:F999,"100x",H2:H999,"Long")),"Sin Datos")</f>
        <v>Sin Datos</v>
      </c>
      <c r="R2" s="27" t="str">
        <f>IFERROR((COUNTIFS(F2:F999,"100x",H2:H999,"Short",I2:I999,"Ganado"))/(COUNTIFS(F2:F999,"100x",H2:H999,"Short")),"Sin Datos")</f>
        <v>Sin Datos</v>
      </c>
      <c r="S2" s="4" t="str">
        <f>IFERROR((COUNTIFS(F2:F999,"100x",I2:I999,"Ganado"))/(N2),"Sin Datos")</f>
        <v>Sin Datos</v>
      </c>
    </row>
    <row r="3" spans="1:19" ht="15.75" x14ac:dyDescent="0.25">
      <c r="A3" s="2" t="s">
        <v>45</v>
      </c>
      <c r="B3" s="3">
        <f>SUM(J2:J999)</f>
        <v>0</v>
      </c>
      <c r="D3" s="2">
        <v>2</v>
      </c>
      <c r="E3" s="6"/>
      <c r="F3" s="2"/>
      <c r="G3" s="2"/>
      <c r="H3" s="2"/>
      <c r="I3" s="2" t="str">
        <f t="shared" ref="I3:I66" si="0">IF(J3="","",IF(J3&gt;3,"Ganado",IF(J3&lt;-3,"Perdido","Break Even")))</f>
        <v/>
      </c>
      <c r="J3" s="3"/>
      <c r="K3" s="5" t="str">
        <f>IFERROR(Tabla347[[#This Row],[USD]]/$B$1,"")</f>
        <v/>
      </c>
      <c r="M3" s="26" t="s">
        <v>22</v>
      </c>
      <c r="N3" s="2">
        <f>COUNTIFS(F2:F999,"50x")</f>
        <v>0</v>
      </c>
      <c r="O3" s="27" t="str">
        <f>IFERROR((COUNTIFS(F2:F999,"50x",G2:G999,"Ida",I2:I999,"Ganado"))/(COUNTIFS(F2:F999,"50x",G2:G999,"Ida")),"Sin Datos")</f>
        <v>Sin Datos</v>
      </c>
      <c r="P3" s="27" t="str">
        <f>IFERROR((COUNTIFS(F2:F999,"50x",G2:G999,"Vuelta",I2:I999,"Ganado"))/(COUNTIFS(F2:F999,"50x",G2:G999,"Vuelta")),"Sin Datos")</f>
        <v>Sin Datos</v>
      </c>
      <c r="Q3" s="27" t="str">
        <f>IFERROR((COUNTIFS(F2:F999,"50x",H2:H999,"Long",I2:I999,"Ganado"))/(COUNTIFS(F2:F999,"50x",H2:H999,"Long")),"Sin Datos")</f>
        <v>Sin Datos</v>
      </c>
      <c r="R3" s="27" t="str">
        <f>IFERROR((COUNTIFS(F2:F999,"50x",H2:H999,"Short",I2:I999,"Ganado"))/(COUNTIFS(F2:F999,"50x",H2:H999,"Short")),"Sin Datos")</f>
        <v>Sin Datos</v>
      </c>
      <c r="S3" s="4" t="str">
        <f>IFERROR((COUNTIFS(F2:F999,"50x",I2:I999,"Ganado"))/(N3),"Sin Datos")</f>
        <v>Sin Datos</v>
      </c>
    </row>
    <row r="4" spans="1:19" ht="15.75" x14ac:dyDescent="0.25">
      <c r="A4" s="2" t="s">
        <v>43</v>
      </c>
      <c r="B4" s="3">
        <f>SUM(SUMIFS(J2:J999,F2:F999,"100x"),SUMIFS(J2:J999,F2:F999,"50x"),SUMIFS(J2:J999,F2:F999,"25x"),SUMIFS(J2:J999,F2:F999,"10x"),SUMIFS(J2:J999,F2:F999,"5x"))</f>
        <v>0</v>
      </c>
      <c r="D4" s="2">
        <v>3</v>
      </c>
      <c r="E4" s="6"/>
      <c r="F4" s="2"/>
      <c r="G4" s="2"/>
      <c r="H4" s="2"/>
      <c r="I4" s="2" t="str">
        <f t="shared" si="0"/>
        <v/>
      </c>
      <c r="J4" s="3"/>
      <c r="K4" s="5" t="str">
        <f>IFERROR(Tabla347[[#This Row],[USD]]/$B$1,"")</f>
        <v/>
      </c>
      <c r="M4" s="26" t="s">
        <v>23</v>
      </c>
      <c r="N4" s="26">
        <f>COUNTIFS(F2:F999,"25x")</f>
        <v>0</v>
      </c>
      <c r="O4" s="27" t="str">
        <f>IFERROR((COUNTIFS(F2:F999,"25x",G2:G999,"Ida",I2:I999,"Ganado"))/(COUNTIFS(F2:F999,"25x",G2:G999,"Ida")),"Sin Datos")</f>
        <v>Sin Datos</v>
      </c>
      <c r="P4" s="27" t="str">
        <f>IFERROR((COUNTIFS(F2:F999,"25x",G2:G999,"Vuelta",I2:I999,"Ganado"))/(COUNTIFS(F2:F999,"25x",G2:G999,"Vuelta")),"Sin Datos")</f>
        <v>Sin Datos</v>
      </c>
      <c r="Q4" s="27" t="str">
        <f>IFERROR((COUNTIFS(F2:F999,"25x",H2:H999,"Long",I2:I999,"Ganado"))/(COUNTIFS(F2:F999,"25x",H2:H999,"Long")),"Sin Datos")</f>
        <v>Sin Datos</v>
      </c>
      <c r="R4" s="27" t="str">
        <f>IFERROR((COUNTIFS(F2:F999,"25x",H2:H999,"Short",I2:I999,"Ganado"))/(COUNTIFS(F2:F999,"25x",H2:H999,"Short")),"Sin Datos")</f>
        <v>Sin Datos</v>
      </c>
      <c r="S4" s="4" t="str">
        <f>IFERROR((COUNTIFS(F2:F999,"25x",I2:I999,"Ganado"))/(N4),"Sin Datos")</f>
        <v>Sin Datos</v>
      </c>
    </row>
    <row r="5" spans="1:19" ht="15.75" x14ac:dyDescent="0.25">
      <c r="A5" s="2" t="s">
        <v>42</v>
      </c>
      <c r="B5" s="3">
        <f>SUM(SUMIFS(J2:J999,F2:F999,"BatiBot"),SUMIFS(J2:J999,F2:F999,"WolfiBot"),SUMIFS(J2:J999,F2:F999,"CondorBot"))</f>
        <v>0</v>
      </c>
      <c r="D5" s="2">
        <v>4</v>
      </c>
      <c r="E5" s="6"/>
      <c r="F5" s="2"/>
      <c r="G5" s="2"/>
      <c r="H5" s="2"/>
      <c r="I5" s="2" t="str">
        <f t="shared" si="0"/>
        <v/>
      </c>
      <c r="J5" s="3"/>
      <c r="K5" s="5" t="str">
        <f>IFERROR(Tabla347[[#This Row],[USD]]/$B$1,"")</f>
        <v/>
      </c>
      <c r="M5" s="2" t="s">
        <v>24</v>
      </c>
      <c r="N5" s="2">
        <f>COUNTIFS(F2:F999,"10x")</f>
        <v>0</v>
      </c>
      <c r="O5" s="27" t="str">
        <f>IFERROR((COUNTIFS(F2:F999,"10x",G2:G999,"Ida",I2:I999,"Ganado"))/(COUNTIFS(F2:F999,"10x",G2:G999,"Ida")),"Sin Datos")</f>
        <v>Sin Datos</v>
      </c>
      <c r="P5" s="27" t="str">
        <f>IFERROR((COUNTIFS(F2:F999,"10x",G2:G999,"Vuelta",I2:I999,"Ganado"))/(COUNTIFS(F2:F999,"10x",G2:G999,"Vuelta")),"Sin Datos")</f>
        <v>Sin Datos</v>
      </c>
      <c r="Q5" s="27" t="str">
        <f>IFERROR((COUNTIFS(F2:F999,"10x",H2:H999,"Long",I2:I999,"Ganado"))/(COUNTIFS(F2:F999,"10x",H2:H999,"Long")),"Sin Datos")</f>
        <v>Sin Datos</v>
      </c>
      <c r="R5" s="27" t="str">
        <f>IFERROR((COUNTIFS(F2:F999,"10x",H2:H999,"Short",I2:I999,"Ganado"))/(COUNTIFS(F2:F999,"10x",H2:H999,"Short")),"Sin Datos")</f>
        <v>Sin Datos</v>
      </c>
      <c r="S5" s="4" t="str">
        <f>IFERROR((COUNTIFS(F2:F999,"10x",I2:I999,"Ganado"))/(N5),"Sin Datos")</f>
        <v>Sin Datos</v>
      </c>
    </row>
    <row r="6" spans="1:19" ht="15.75" x14ac:dyDescent="0.25">
      <c r="A6" s="2" t="s">
        <v>41</v>
      </c>
      <c r="B6" s="3">
        <f>SUMIFS(J2:J999,F2:F999,"Otras")</f>
        <v>0</v>
      </c>
      <c r="D6" s="2">
        <v>5</v>
      </c>
      <c r="E6" s="6"/>
      <c r="F6" s="2"/>
      <c r="G6" s="2"/>
      <c r="H6" s="2"/>
      <c r="I6" s="2" t="str">
        <f t="shared" si="0"/>
        <v/>
      </c>
      <c r="J6" s="3"/>
      <c r="K6" s="5" t="str">
        <f>IFERROR(Tabla347[[#This Row],[USD]]/$B$1,"")</f>
        <v/>
      </c>
      <c r="M6" s="2" t="s">
        <v>33</v>
      </c>
      <c r="N6" s="6">
        <f>COUNTIFS(F2:F999,"5x")</f>
        <v>0</v>
      </c>
      <c r="O6" s="27" t="str">
        <f>IFERROR((COUNTIFS(F2:F999,"5x",G2:G999,"Ida",I2:I999,"Ganado"))/(COUNTIFS(F2:F999,"5x",G2:G999,"Ida")),"Sin Datos")</f>
        <v>Sin Datos</v>
      </c>
      <c r="P6" s="27" t="str">
        <f>IFERROR((COUNTIFS(F2:F999,"5x",G2:G999,"Vuelta",I2:I999,"Ganado"))/(COUNTIFS(F2:F999,"5x",G2:G999,"Vuelta")),"Sin Datos")</f>
        <v>Sin Datos</v>
      </c>
      <c r="Q6" s="27" t="str">
        <f>IFERROR((COUNTIFS(F2:F999,"5x",H2:H999,"Long",I2:I999,"Ganado"))/(COUNTIFS(F2:F999,"5x",H2:H999,"Long")),"Sin Datos")</f>
        <v>Sin Datos</v>
      </c>
      <c r="R6" s="27" t="str">
        <f>IFERROR((COUNTIFS(F2:F999,"5x",H2:H999,"Short",I2:I999,"Ganado"))/(COUNTIFS(F2:F999,"5x",H2:H999,"Short")),"Sin Datos")</f>
        <v>Sin Datos</v>
      </c>
      <c r="S6" s="4" t="str">
        <f>IFERROR((COUNTIFS(F2:F999,"5x",I2:I999,"Ganado"))/(N6),"Sin Datos")</f>
        <v>Sin Datos</v>
      </c>
    </row>
    <row r="7" spans="1:19" ht="15.75" x14ac:dyDescent="0.25">
      <c r="A7" s="2" t="s">
        <v>40</v>
      </c>
      <c r="B7" s="3">
        <f>IFERROR((B3/SUM(IF(FREQUENCY(E2:E999,E2:E999),1))),0)</f>
        <v>0</v>
      </c>
      <c r="D7" s="2">
        <v>6</v>
      </c>
      <c r="E7" s="6"/>
      <c r="F7" s="2"/>
      <c r="G7" s="2"/>
      <c r="H7" s="2"/>
      <c r="I7" s="2" t="str">
        <f t="shared" si="0"/>
        <v/>
      </c>
      <c r="J7" s="3"/>
      <c r="K7" s="5" t="str">
        <f>IFERROR(Tabla347[[#This Row],[USD]]/$B$1,"")</f>
        <v/>
      </c>
      <c r="M7" s="26" t="s">
        <v>19</v>
      </c>
      <c r="N7" s="26">
        <f>COUNTIFS(F2:F999,"BatiBot")</f>
        <v>0</v>
      </c>
      <c r="O7" s="27" t="str">
        <f>IFERROR((COUNTIFS(F2:F999,"BatiBot",G2:G999,"Ida",I2:I999,"Ganado"))/(COUNTIFS(F2:F999,"BatiBot",G2:G999,"Ida")),"Sin Datos")</f>
        <v>Sin Datos</v>
      </c>
      <c r="P7" s="27" t="str">
        <f>IFERROR((COUNTIFS(F2:F999,"BatiBot",G2:G999,"Vuelta",I2:I999,"Ganado"))/(COUNTIFS(F2:F999,"BatiBot",G2:G999,"Vuelta")),"Sin Datos")</f>
        <v>Sin Datos</v>
      </c>
      <c r="Q7" s="27" t="str">
        <f>IFERROR((COUNTIFS(F2:F999,"BatiBot",H2:H999,"Long",I2:I999,"Ganado"))/(COUNTIFS(F2:F999,"BatiBot",H2:H999,"Long")),"Sin Datos")</f>
        <v>Sin Datos</v>
      </c>
      <c r="R7" s="27" t="str">
        <f>IFERROR((COUNTIFS(F2:F999,"BatiBot",H2:H999,"Short",I2:I999,"Ganado"))/(COUNTIFS(F2:F999,"BatiBot",H2:H999,"Short")),"Sin Datos")</f>
        <v>Sin Datos</v>
      </c>
      <c r="S7" s="4" t="str">
        <f>IFERROR((COUNTIFS(F2:F999,"BatiBot",I2:I999,"Ganado"))/(N7),"Sin Datos")</f>
        <v>Sin Datos</v>
      </c>
    </row>
    <row r="8" spans="1:19" ht="15.75" x14ac:dyDescent="0.25">
      <c r="A8" s="2" t="s">
        <v>20</v>
      </c>
      <c r="B8" s="2"/>
      <c r="D8" s="2">
        <v>7</v>
      </c>
      <c r="E8" s="6"/>
      <c r="F8" s="2"/>
      <c r="G8" s="2"/>
      <c r="H8" s="2"/>
      <c r="I8" s="2" t="str">
        <f t="shared" si="0"/>
        <v/>
      </c>
      <c r="J8" s="3"/>
      <c r="K8" s="5" t="str">
        <f>IFERROR(Tabla347[[#This Row],[USD]]/$B$1,"")</f>
        <v/>
      </c>
      <c r="M8" s="2" t="s">
        <v>18</v>
      </c>
      <c r="N8" s="2">
        <f>COUNTIFS(F2:F999,"WolfiBot")</f>
        <v>0</v>
      </c>
      <c r="O8" s="27" t="str">
        <f>IFERROR((COUNTIFS(F2:F999,"WolfiBot",G2:G999,"Ida",I2:I999,"Ganado"))/(COUNTIFS(F2:F999,"WolfiBot",G2:G999,"Ida")),"Sin Datos")</f>
        <v>Sin Datos</v>
      </c>
      <c r="P8" s="27" t="str">
        <f>IFERROR((COUNTIFS(F2:F999,"WolfiBot",G2:G999,"Vuelta",I2:I999,"Ganado"))/(COUNTIFS(F2:F999,"WolfiBot",G2:G999,"Vuelta")),"Sin Datos")</f>
        <v>Sin Datos</v>
      </c>
      <c r="Q8" s="27" t="str">
        <f>IFERROR((COUNTIFS(F2:F999,"WolfiBot",H2:H999,"Long",I2:I999,"Ganado"))/(COUNTIFS(F2:F999,"WolfiBot",H2:H999,"Long")),"Sin Datos")</f>
        <v>Sin Datos</v>
      </c>
      <c r="R8" s="27" t="str">
        <f>IFERROR((COUNTIFS(F2:F999,"WolfiBot",H2:H999,"Short",I2:I999,"Ganado"))/(COUNTIFS(F2:F999,"WolfiBot",H2:H999,"Short")),"Sin Datos")</f>
        <v>Sin Datos</v>
      </c>
      <c r="S8" s="4" t="str">
        <f>IFERROR((COUNTIFS(F2:F999,"WolfiBot",I2:I999,"Ganado"))/(N8),"Sin Datos")</f>
        <v>Sin Datos</v>
      </c>
    </row>
    <row r="9" spans="1:19" ht="15.75" x14ac:dyDescent="0.25">
      <c r="A9" s="2" t="s">
        <v>12</v>
      </c>
      <c r="B9" s="2">
        <f>N11</f>
        <v>0</v>
      </c>
      <c r="D9" s="2">
        <v>8</v>
      </c>
      <c r="E9" s="6"/>
      <c r="F9" s="2"/>
      <c r="G9" s="2"/>
      <c r="H9" s="2"/>
      <c r="I9" s="2" t="str">
        <f t="shared" si="0"/>
        <v/>
      </c>
      <c r="J9" s="3"/>
      <c r="K9" s="5" t="str">
        <f>IFERROR(Tabla347[[#This Row],[USD]]/$B$1,"")</f>
        <v/>
      </c>
      <c r="M9" s="26" t="s">
        <v>25</v>
      </c>
      <c r="N9" s="2">
        <f>COUNTIFS(F2:F999,"CondorBot")</f>
        <v>0</v>
      </c>
      <c r="O9" s="27" t="str">
        <f>IFERROR((COUNTIFS(F2:F999,"CondorBot",G2:G999,"Ida",I2:I999,"Ganado"))/(COUNTIFS(F2:F999,"CondorBot",G2:G999,"Ida")),"Sin Datos")</f>
        <v>Sin Datos</v>
      </c>
      <c r="P9" s="27" t="str">
        <f>IFERROR((COUNTIFS(F2:F999,"CondorBot",G2:G999,"Vuelta",I2:I999,"Ganado"))/(COUNTIFS(F2:F999,"CondorBot",G2:G999,"Vuelta")),"Sin Datos")</f>
        <v>Sin Datos</v>
      </c>
      <c r="Q9" s="27" t="str">
        <f>IFERROR((COUNTIFS(F2:F999,"CondorBot",H2:H999,"Long",I2:I999,"Ganado"))/(COUNTIFS(F2:F999,"CondorBot",H2:H999,"Long")),"Sin Datos")</f>
        <v>Sin Datos</v>
      </c>
      <c r="R9" s="27" t="str">
        <f>IFERROR((COUNTIFS(F2:F999,"CondorBot",H2:H999,"Short",I2:I999,"Ganado"))/(COUNTIFS(F2:F999,"CondorBot",H2:H999,"Short")),"Sin Datos")</f>
        <v>Sin Datos</v>
      </c>
      <c r="S9" s="4" t="str">
        <f>IFERROR((COUNTIFS(F2:F999,"CondorBot",I2:I999,"Ganado"))/(N9),"Sin Datos")</f>
        <v>Sin Datos</v>
      </c>
    </row>
    <row r="10" spans="1:19" ht="15.75" x14ac:dyDescent="0.25">
      <c r="A10" s="2" t="s">
        <v>31</v>
      </c>
      <c r="B10" s="2">
        <f>SUM(N2:N6)</f>
        <v>0</v>
      </c>
      <c r="D10" s="2">
        <v>9</v>
      </c>
      <c r="E10" s="6"/>
      <c r="F10" s="2"/>
      <c r="G10" s="2"/>
      <c r="H10" s="2"/>
      <c r="I10" s="2" t="str">
        <f t="shared" si="0"/>
        <v/>
      </c>
      <c r="J10" s="3"/>
      <c r="K10" s="5" t="str">
        <f>IFERROR(Tabla347[[#This Row],[USD]]/$B$1,"")</f>
        <v/>
      </c>
      <c r="M10" s="26" t="s">
        <v>34</v>
      </c>
      <c r="N10" s="6">
        <f>COUNTIFS(F2:F999,"Otras")</f>
        <v>0</v>
      </c>
      <c r="O10" s="27" t="str">
        <f>IFERROR((COUNTIFS(F2:F999,"Otras",G2:G999,"Ida",I2:I999,"Ganado"))/(COUNTIFS(F2:F999,"Otras",G2:G999,"Ida")),"Sin Datos")</f>
        <v>Sin Datos</v>
      </c>
      <c r="P10" s="27" t="str">
        <f>IFERROR((COUNTIFS(F2:F999,"Otras",G2:G999,"Vuelta",I2:I999,"Ganado"))/(COUNTIFS(F2:F999,"Otras",G2:G999,"Vuelta")),"Sin Datos")</f>
        <v>Sin Datos</v>
      </c>
      <c r="Q10" s="27" t="str">
        <f>IFERROR((COUNTIFS(F2:F999,"Otras",H2:H999,"Long",I2:I999,"Ganado"))/(COUNTIFS(F2:F999,"Otras",H2:H999,"Long")),"Sin Datos")</f>
        <v>Sin Datos</v>
      </c>
      <c r="R10" s="27" t="str">
        <f>IFERROR((COUNTIFS(F2:F999,"Otras",H2:H999,"Short",I2:I999,"Ganado"))/(COUNTIFS(F2:F999,"Otras",H2:H999,"Short")),"Sin Datos")</f>
        <v>Sin Datos</v>
      </c>
      <c r="S10" s="4" t="str">
        <f>IFERROR((COUNTIFS(F2:F999,"Otras",I2:I999,"Ganado"))/(N10),"Sin Datos")</f>
        <v>Sin Datos</v>
      </c>
    </row>
    <row r="11" spans="1:19" ht="18.75" x14ac:dyDescent="0.25">
      <c r="A11" s="2" t="s">
        <v>32</v>
      </c>
      <c r="B11" s="2">
        <f>SUM(N7:N9)</f>
        <v>0</v>
      </c>
      <c r="D11" s="2">
        <v>10</v>
      </c>
      <c r="E11" s="6"/>
      <c r="F11" s="2"/>
      <c r="G11" s="2"/>
      <c r="H11" s="2"/>
      <c r="I11" s="2" t="str">
        <f t="shared" si="0"/>
        <v/>
      </c>
      <c r="J11" s="3"/>
      <c r="K11" s="5" t="str">
        <f>IFERROR(Tabla347[[#This Row],[USD]]/$B$1,"")</f>
        <v/>
      </c>
      <c r="M11" s="28" t="s">
        <v>6</v>
      </c>
      <c r="N11" s="28">
        <f>COUNT(J2:J999)</f>
        <v>0</v>
      </c>
      <c r="O11" s="29" t="str">
        <f>IFERROR((COUNTIFS(G2:G999,"Ida",I2:I999,"Ganado"))/(COUNTIFS(G2:G999,"Ida")),"Sin Datos")</f>
        <v>Sin Datos</v>
      </c>
      <c r="P11" s="29" t="str">
        <f>IFERROR((COUNTIFS(G2:G999,"Vuelta",I2:I999,"Ganado"))/(COUNTIFS(G2:G999,"Vuelta")),"Sin Datos")</f>
        <v>Sin Datos</v>
      </c>
      <c r="Q11" s="29" t="str">
        <f>IFERROR((COUNTIFS(H2:H999,"Long",I2:I999,"Ganado"))/(COUNTIFS(H2:H999,"Long")),"Sin Datos")</f>
        <v>Sin Datos</v>
      </c>
      <c r="R11" s="29" t="str">
        <f>IFERROR((COUNTIFS(H2:H999,"Short",I2:I999,"Ganado"))/(COUNTIFS(H2:H999,"Short")),"Sin Datos")</f>
        <v>Sin Datos</v>
      </c>
      <c r="S11" s="29" t="str">
        <f>IFERROR((COUNTIF(I2:I999,"Ganado"))/(N11),"Sin Datos")</f>
        <v>Sin Datos</v>
      </c>
    </row>
    <row r="12" spans="1:19" ht="15.75" x14ac:dyDescent="0.25">
      <c r="A12" s="2" t="s">
        <v>36</v>
      </c>
      <c r="B12" s="2">
        <f>N10</f>
        <v>0</v>
      </c>
      <c r="D12" s="2">
        <v>11</v>
      </c>
      <c r="E12" s="6"/>
      <c r="F12" s="2"/>
      <c r="G12" s="2"/>
      <c r="H12" s="2"/>
      <c r="I12" s="2" t="str">
        <f t="shared" si="0"/>
        <v/>
      </c>
      <c r="J12" s="3"/>
      <c r="K12" s="5" t="str">
        <f>IFERROR(Tabla347[[#This Row],[USD]]/$B$1,"")</f>
        <v/>
      </c>
    </row>
    <row r="13" spans="1:19" ht="15.75" x14ac:dyDescent="0.25">
      <c r="A13" s="2" t="s">
        <v>10</v>
      </c>
      <c r="B13" s="4" t="str">
        <f>S11</f>
        <v>Sin Datos</v>
      </c>
      <c r="D13" s="2">
        <v>12</v>
      </c>
      <c r="E13" s="6"/>
      <c r="F13" s="2"/>
      <c r="G13" s="2"/>
      <c r="H13" s="2"/>
      <c r="I13" s="2" t="str">
        <f t="shared" si="0"/>
        <v/>
      </c>
      <c r="J13" s="3"/>
      <c r="K13" s="5" t="str">
        <f>IFERROR(Tabla347[[#This Row],[USD]]/$B$1,"")</f>
        <v/>
      </c>
      <c r="M13" s="85" t="s">
        <v>38</v>
      </c>
      <c r="N13" s="85"/>
      <c r="O13" s="1"/>
      <c r="R13" s="30"/>
    </row>
    <row r="14" spans="1:19" ht="15.75" x14ac:dyDescent="0.25">
      <c r="A14" s="2" t="s">
        <v>29</v>
      </c>
      <c r="B14" s="4" t="str">
        <f>IFERROR(AVERAGE(S2:S6),"Sin Datos")</f>
        <v>Sin Datos</v>
      </c>
      <c r="D14" s="2">
        <v>13</v>
      </c>
      <c r="E14" s="6"/>
      <c r="F14" s="2"/>
      <c r="G14" s="2"/>
      <c r="H14" s="2"/>
      <c r="I14" s="2" t="str">
        <f t="shared" si="0"/>
        <v/>
      </c>
      <c r="J14" s="3"/>
      <c r="K14" s="5" t="str">
        <f>IFERROR(Tabla347[[#This Row],[USD]]/$B$1,"")</f>
        <v/>
      </c>
      <c r="M14" s="2" t="s">
        <v>39</v>
      </c>
      <c r="N14" s="2"/>
      <c r="O14" s="1"/>
    </row>
    <row r="15" spans="1:19" ht="15.75" x14ac:dyDescent="0.25">
      <c r="A15" s="2" t="s">
        <v>30</v>
      </c>
      <c r="B15" s="4" t="str">
        <f>IFERROR(AVERAGE(S7:S9),"Sin Datos")</f>
        <v>Sin Datos</v>
      </c>
      <c r="D15" s="2">
        <v>14</v>
      </c>
      <c r="E15" s="6"/>
      <c r="F15" s="2"/>
      <c r="G15" s="2"/>
      <c r="H15" s="2"/>
      <c r="I15" s="2" t="str">
        <f t="shared" si="0"/>
        <v/>
      </c>
      <c r="J15" s="3"/>
      <c r="K15" s="5" t="str">
        <f>IFERROR(Tabla347[[#This Row],[USD]]/$B$1,"")</f>
        <v/>
      </c>
      <c r="M15" s="2" t="s">
        <v>37</v>
      </c>
      <c r="N15" s="2"/>
      <c r="O15" s="1"/>
    </row>
    <row r="16" spans="1:19" ht="15.75" x14ac:dyDescent="0.25">
      <c r="A16" s="2" t="s">
        <v>35</v>
      </c>
      <c r="B16" s="4" t="str">
        <f>S10</f>
        <v>Sin Datos</v>
      </c>
      <c r="D16" s="2">
        <v>15</v>
      </c>
      <c r="E16" s="6"/>
      <c r="F16" s="2"/>
      <c r="G16" s="2"/>
      <c r="H16" s="2"/>
      <c r="I16" s="2" t="str">
        <f t="shared" si="0"/>
        <v/>
      </c>
      <c r="J16" s="3"/>
      <c r="K16" s="5" t="str">
        <f>IFERROR(Tabla347[[#This Row],[USD]]/$B$1,"")</f>
        <v/>
      </c>
      <c r="M16" s="2" t="s">
        <v>11</v>
      </c>
      <c r="N16" s="2">
        <f>(N15*N14)</f>
        <v>0</v>
      </c>
      <c r="O16" s="1"/>
    </row>
    <row r="17" spans="1:11" ht="15.75" x14ac:dyDescent="0.25">
      <c r="A17" s="2" t="s">
        <v>46</v>
      </c>
      <c r="B17" s="5">
        <f>AVERAGE(SUM(K2:K999))</f>
        <v>0</v>
      </c>
      <c r="D17" s="2">
        <v>16</v>
      </c>
      <c r="E17" s="6"/>
      <c r="F17" s="2"/>
      <c r="G17" s="2"/>
      <c r="H17" s="2"/>
      <c r="I17" s="2" t="str">
        <f t="shared" si="0"/>
        <v/>
      </c>
      <c r="J17" s="3"/>
      <c r="K17" s="5" t="str">
        <f>IFERROR(Tabla347[[#This Row],[USD]]/$B$1,"")</f>
        <v/>
      </c>
    </row>
    <row r="18" spans="1:11" ht="15.75" x14ac:dyDescent="0.25">
      <c r="A18" s="2" t="s">
        <v>47</v>
      </c>
      <c r="B18" s="5">
        <f>SUM(SUMIFS(K2:K999,F2:F999,"100x"),SUMIFS(K2:K999,F2:F999,"50x"),SUMIFS(K2:K999,F2:F999,"25x"),SUMIFS(K2:K999,F2:F999,"10x"),SUMIFS(K2:K999,F2:F999,"5x"))</f>
        <v>0</v>
      </c>
      <c r="D18" s="2">
        <v>17</v>
      </c>
      <c r="E18" s="6"/>
      <c r="F18" s="2"/>
      <c r="G18" s="2"/>
      <c r="H18" s="2"/>
      <c r="I18" s="2" t="str">
        <f t="shared" si="0"/>
        <v/>
      </c>
      <c r="J18" s="3"/>
      <c r="K18" s="5" t="str">
        <f>IFERROR(Tabla347[[#This Row],[USD]]/$B$1,"")</f>
        <v/>
      </c>
    </row>
    <row r="19" spans="1:11" ht="15.75" x14ac:dyDescent="0.25">
      <c r="A19" s="2" t="s">
        <v>48</v>
      </c>
      <c r="B19" s="5">
        <f>SUM(SUMIFS(K2:K999,F2:F999,"BatiBot"),SUMIFS(K2:K999,F2:F999,"WolfiBot"),SUMIFS(K2:K999,F2:F999,"CondorBot"))</f>
        <v>0</v>
      </c>
      <c r="D19" s="2">
        <v>18</v>
      </c>
      <c r="E19" s="6"/>
      <c r="F19" s="2"/>
      <c r="G19" s="2"/>
      <c r="H19" s="2"/>
      <c r="I19" s="2" t="str">
        <f t="shared" si="0"/>
        <v/>
      </c>
      <c r="J19" s="3"/>
      <c r="K19" s="5" t="str">
        <f>IFERROR(Tabla347[[#This Row],[USD]]/$B$1,"")</f>
        <v/>
      </c>
    </row>
    <row r="20" spans="1:11" ht="15.75" x14ac:dyDescent="0.25">
      <c r="A20" s="2" t="s">
        <v>49</v>
      </c>
      <c r="B20" s="5">
        <f>SUMIFS(K2:K999,F2:F999,"Otras")</f>
        <v>0</v>
      </c>
      <c r="D20" s="2">
        <v>19</v>
      </c>
      <c r="E20" s="6"/>
      <c r="F20" s="2"/>
      <c r="G20" s="2"/>
      <c r="H20" s="2"/>
      <c r="I20" s="2" t="str">
        <f t="shared" si="0"/>
        <v/>
      </c>
      <c r="J20" s="3"/>
      <c r="K20" s="5" t="str">
        <f>IFERROR(Tabla347[[#This Row],[USD]]/$B$1,"")</f>
        <v/>
      </c>
    </row>
    <row r="21" spans="1:11" ht="15.75" x14ac:dyDescent="0.25">
      <c r="D21" s="2">
        <v>20</v>
      </c>
      <c r="E21" s="6"/>
      <c r="F21" s="2"/>
      <c r="G21" s="2"/>
      <c r="H21" s="2"/>
      <c r="I21" s="2" t="str">
        <f t="shared" si="0"/>
        <v/>
      </c>
      <c r="J21" s="3"/>
      <c r="K21" s="5" t="str">
        <f>IFERROR(Tabla347[[#This Row],[USD]]/$B$1,"")</f>
        <v/>
      </c>
    </row>
    <row r="22" spans="1:11" ht="15.75" x14ac:dyDescent="0.25">
      <c r="D22" s="2">
        <v>21</v>
      </c>
      <c r="E22" s="6"/>
      <c r="F22" s="2"/>
      <c r="G22" s="2"/>
      <c r="H22" s="2"/>
      <c r="I22" s="2" t="str">
        <f t="shared" si="0"/>
        <v/>
      </c>
      <c r="J22" s="3"/>
      <c r="K22" s="5" t="str">
        <f>IFERROR(Tabla347[[#This Row],[USD]]/$B$1,"")</f>
        <v/>
      </c>
    </row>
    <row r="23" spans="1:11" ht="15.75" x14ac:dyDescent="0.25">
      <c r="D23" s="2">
        <v>22</v>
      </c>
      <c r="E23" s="6"/>
      <c r="F23" s="2"/>
      <c r="G23" s="2"/>
      <c r="H23" s="2"/>
      <c r="I23" s="2" t="str">
        <f t="shared" si="0"/>
        <v/>
      </c>
      <c r="J23" s="3"/>
      <c r="K23" s="5" t="str">
        <f>IFERROR(Tabla347[[#This Row],[USD]]/$B$1,"")</f>
        <v/>
      </c>
    </row>
    <row r="24" spans="1:11" ht="15.75" x14ac:dyDescent="0.25">
      <c r="D24" s="2">
        <v>23</v>
      </c>
      <c r="E24" s="6"/>
      <c r="F24" s="2"/>
      <c r="G24" s="2"/>
      <c r="H24" s="2"/>
      <c r="I24" s="2" t="str">
        <f t="shared" si="0"/>
        <v/>
      </c>
      <c r="J24" s="3"/>
      <c r="K24" s="5" t="str">
        <f>IFERROR(Tabla347[[#This Row],[USD]]/$B$1,"")</f>
        <v/>
      </c>
    </row>
    <row r="25" spans="1:11" ht="15.75" x14ac:dyDescent="0.25">
      <c r="D25" s="2">
        <v>24</v>
      </c>
      <c r="E25" s="6"/>
      <c r="F25" s="2"/>
      <c r="G25" s="2"/>
      <c r="H25" s="2"/>
      <c r="I25" s="2" t="str">
        <f t="shared" si="0"/>
        <v/>
      </c>
      <c r="J25" s="3"/>
      <c r="K25" s="5" t="str">
        <f>IFERROR(Tabla347[[#This Row],[USD]]/$B$1,"")</f>
        <v/>
      </c>
    </row>
    <row r="26" spans="1:11" ht="15.75" x14ac:dyDescent="0.25">
      <c r="D26" s="2">
        <v>25</v>
      </c>
      <c r="E26" s="6"/>
      <c r="F26" s="2"/>
      <c r="G26" s="2"/>
      <c r="H26" s="2"/>
      <c r="I26" s="2" t="str">
        <f t="shared" si="0"/>
        <v/>
      </c>
      <c r="J26" s="3"/>
      <c r="K26" s="5" t="str">
        <f>IFERROR(Tabla347[[#This Row],[USD]]/$B$1,"")</f>
        <v/>
      </c>
    </row>
    <row r="27" spans="1:11" ht="15.75" x14ac:dyDescent="0.25">
      <c r="D27" s="2">
        <v>26</v>
      </c>
      <c r="E27" s="6"/>
      <c r="F27" s="2"/>
      <c r="G27" s="2"/>
      <c r="H27" s="2"/>
      <c r="I27" s="2" t="str">
        <f t="shared" si="0"/>
        <v/>
      </c>
      <c r="J27" s="3"/>
      <c r="K27" s="5" t="str">
        <f>IFERROR(Tabla347[[#This Row],[USD]]/$B$1,"")</f>
        <v/>
      </c>
    </row>
    <row r="28" spans="1:11" ht="15.75" x14ac:dyDescent="0.25">
      <c r="D28" s="2">
        <v>27</v>
      </c>
      <c r="E28" s="6"/>
      <c r="F28" s="2"/>
      <c r="G28" s="2"/>
      <c r="H28" s="2"/>
      <c r="I28" s="2" t="str">
        <f t="shared" si="0"/>
        <v/>
      </c>
      <c r="J28" s="3"/>
      <c r="K28" s="5" t="str">
        <f>IFERROR(Tabla347[[#This Row],[USD]]/$B$1,"")</f>
        <v/>
      </c>
    </row>
    <row r="29" spans="1:11" ht="15.75" x14ac:dyDescent="0.25">
      <c r="D29" s="2">
        <v>28</v>
      </c>
      <c r="E29" s="6"/>
      <c r="F29" s="2"/>
      <c r="G29" s="2"/>
      <c r="H29" s="2"/>
      <c r="I29" s="2" t="str">
        <f t="shared" si="0"/>
        <v/>
      </c>
      <c r="J29" s="3"/>
      <c r="K29" s="5" t="str">
        <f>IFERROR(Tabla347[[#This Row],[USD]]/$B$1,"")</f>
        <v/>
      </c>
    </row>
    <row r="30" spans="1:11" ht="15.75" x14ac:dyDescent="0.25">
      <c r="D30" s="2">
        <v>29</v>
      </c>
      <c r="E30" s="6"/>
      <c r="F30" s="2"/>
      <c r="G30" s="2"/>
      <c r="H30" s="2"/>
      <c r="I30" s="2" t="str">
        <f t="shared" si="0"/>
        <v/>
      </c>
      <c r="J30" s="3"/>
      <c r="K30" s="5" t="str">
        <f>IFERROR(Tabla347[[#This Row],[USD]]/$B$1,"")</f>
        <v/>
      </c>
    </row>
    <row r="31" spans="1:11" ht="15.75" x14ac:dyDescent="0.25">
      <c r="D31" s="2">
        <v>30</v>
      </c>
      <c r="E31" s="6"/>
      <c r="F31" s="2"/>
      <c r="G31" s="2"/>
      <c r="H31" s="2"/>
      <c r="I31" s="2" t="str">
        <f t="shared" si="0"/>
        <v/>
      </c>
      <c r="J31" s="3"/>
      <c r="K31" s="5" t="str">
        <f>IFERROR(Tabla347[[#This Row],[USD]]/$B$1,"")</f>
        <v/>
      </c>
    </row>
    <row r="32" spans="1:11" ht="15.75" x14ac:dyDescent="0.25">
      <c r="D32" s="2">
        <v>31</v>
      </c>
      <c r="E32" s="6"/>
      <c r="F32" s="2"/>
      <c r="G32" s="2"/>
      <c r="H32" s="2"/>
      <c r="I32" s="2" t="str">
        <f t="shared" si="0"/>
        <v/>
      </c>
      <c r="J32" s="3"/>
      <c r="K32" s="5" t="str">
        <f>IFERROR(Tabla347[[#This Row],[USD]]/$B$1,"")</f>
        <v/>
      </c>
    </row>
    <row r="33" spans="4:11" ht="15.75" x14ac:dyDescent="0.25">
      <c r="D33" s="2">
        <v>32</v>
      </c>
      <c r="E33" s="6"/>
      <c r="F33" s="2"/>
      <c r="G33" s="2"/>
      <c r="H33" s="2"/>
      <c r="I33" s="2" t="str">
        <f t="shared" si="0"/>
        <v/>
      </c>
      <c r="J33" s="3"/>
      <c r="K33" s="5" t="str">
        <f>IFERROR(Tabla347[[#This Row],[USD]]/$B$1,"")</f>
        <v/>
      </c>
    </row>
    <row r="34" spans="4:11" ht="15.75" x14ac:dyDescent="0.25">
      <c r="D34" s="2">
        <v>33</v>
      </c>
      <c r="E34" s="6"/>
      <c r="F34" s="2"/>
      <c r="G34" s="2"/>
      <c r="H34" s="2"/>
      <c r="I34" s="2" t="str">
        <f t="shared" si="0"/>
        <v/>
      </c>
      <c r="J34" s="3"/>
      <c r="K34" s="5" t="str">
        <f>IFERROR(Tabla347[[#This Row],[USD]]/$B$1,"")</f>
        <v/>
      </c>
    </row>
    <row r="35" spans="4:11" ht="15.75" x14ac:dyDescent="0.25">
      <c r="D35" s="2">
        <v>34</v>
      </c>
      <c r="E35" s="6"/>
      <c r="F35" s="2"/>
      <c r="G35" s="2"/>
      <c r="H35" s="2"/>
      <c r="I35" s="2" t="str">
        <f t="shared" si="0"/>
        <v/>
      </c>
      <c r="J35" s="3"/>
      <c r="K35" s="5" t="str">
        <f>IFERROR(Tabla347[[#This Row],[USD]]/$B$1,"")</f>
        <v/>
      </c>
    </row>
    <row r="36" spans="4:11" ht="15.75" x14ac:dyDescent="0.25">
      <c r="D36" s="2">
        <v>35</v>
      </c>
      <c r="E36" s="6"/>
      <c r="F36" s="2"/>
      <c r="G36" s="2"/>
      <c r="H36" s="2"/>
      <c r="I36" s="2" t="str">
        <f t="shared" si="0"/>
        <v/>
      </c>
      <c r="J36" s="3"/>
      <c r="K36" s="5" t="str">
        <f>IFERROR(Tabla347[[#This Row],[USD]]/$B$1,"")</f>
        <v/>
      </c>
    </row>
    <row r="37" spans="4:11" ht="15.75" x14ac:dyDescent="0.25">
      <c r="D37" s="2">
        <v>36</v>
      </c>
      <c r="E37" s="6"/>
      <c r="F37" s="2"/>
      <c r="G37" s="2"/>
      <c r="H37" s="2"/>
      <c r="I37" s="2" t="str">
        <f t="shared" si="0"/>
        <v/>
      </c>
      <c r="J37" s="3"/>
      <c r="K37" s="5" t="str">
        <f>IFERROR(Tabla347[[#This Row],[USD]]/$B$1,"")</f>
        <v/>
      </c>
    </row>
    <row r="38" spans="4:11" ht="15.75" x14ac:dyDescent="0.25">
      <c r="D38" s="2">
        <v>37</v>
      </c>
      <c r="E38" s="6"/>
      <c r="F38" s="2"/>
      <c r="G38" s="2"/>
      <c r="H38" s="2"/>
      <c r="I38" s="2" t="str">
        <f t="shared" si="0"/>
        <v/>
      </c>
      <c r="J38" s="3"/>
      <c r="K38" s="5" t="str">
        <f>IFERROR(Tabla347[[#This Row],[USD]]/$B$1,"")</f>
        <v/>
      </c>
    </row>
    <row r="39" spans="4:11" ht="15.75" x14ac:dyDescent="0.25">
      <c r="D39" s="2">
        <v>38</v>
      </c>
      <c r="E39" s="6"/>
      <c r="F39" s="2"/>
      <c r="G39" s="2"/>
      <c r="H39" s="2"/>
      <c r="I39" s="2" t="str">
        <f t="shared" si="0"/>
        <v/>
      </c>
      <c r="J39" s="3"/>
      <c r="K39" s="5" t="str">
        <f>IFERROR(Tabla347[[#This Row],[USD]]/$B$1,"")</f>
        <v/>
      </c>
    </row>
    <row r="40" spans="4:11" ht="15.75" x14ac:dyDescent="0.25">
      <c r="D40" s="2">
        <v>39</v>
      </c>
      <c r="E40" s="6"/>
      <c r="F40" s="2"/>
      <c r="G40" s="2"/>
      <c r="H40" s="2"/>
      <c r="I40" s="2" t="str">
        <f t="shared" si="0"/>
        <v/>
      </c>
      <c r="J40" s="3"/>
      <c r="K40" s="5" t="str">
        <f>IFERROR(Tabla347[[#This Row],[USD]]/$B$1,"")</f>
        <v/>
      </c>
    </row>
    <row r="41" spans="4:11" ht="15.75" x14ac:dyDescent="0.25">
      <c r="D41" s="2">
        <v>40</v>
      </c>
      <c r="E41" s="6"/>
      <c r="F41" s="2"/>
      <c r="G41" s="2"/>
      <c r="H41" s="2"/>
      <c r="I41" s="2" t="str">
        <f t="shared" si="0"/>
        <v/>
      </c>
      <c r="J41" s="3"/>
      <c r="K41" s="5" t="str">
        <f>IFERROR(Tabla347[[#This Row],[USD]]/$B$1,"")</f>
        <v/>
      </c>
    </row>
    <row r="42" spans="4:11" ht="15.75" x14ac:dyDescent="0.25">
      <c r="D42" s="2">
        <v>41</v>
      </c>
      <c r="E42" s="6"/>
      <c r="F42" s="2"/>
      <c r="G42" s="2"/>
      <c r="H42" s="2"/>
      <c r="I42" s="2" t="str">
        <f t="shared" si="0"/>
        <v/>
      </c>
      <c r="J42" s="3"/>
      <c r="K42" s="5" t="str">
        <f>IFERROR(Tabla347[[#This Row],[USD]]/$B$1,"")</f>
        <v/>
      </c>
    </row>
    <row r="43" spans="4:11" ht="15.75" x14ac:dyDescent="0.25">
      <c r="D43" s="2">
        <v>42</v>
      </c>
      <c r="E43" s="6"/>
      <c r="F43" s="2"/>
      <c r="G43" s="2"/>
      <c r="H43" s="2"/>
      <c r="I43" s="2" t="str">
        <f t="shared" si="0"/>
        <v/>
      </c>
      <c r="J43" s="3"/>
      <c r="K43" s="5" t="str">
        <f>IFERROR(Tabla347[[#This Row],[USD]]/$B$1,"")</f>
        <v/>
      </c>
    </row>
    <row r="44" spans="4:11" ht="15.75" x14ac:dyDescent="0.25">
      <c r="D44" s="2">
        <v>43</v>
      </c>
      <c r="E44" s="6"/>
      <c r="F44" s="2"/>
      <c r="G44" s="2"/>
      <c r="H44" s="2"/>
      <c r="I44" s="2" t="str">
        <f t="shared" si="0"/>
        <v/>
      </c>
      <c r="J44" s="3"/>
      <c r="K44" s="5" t="str">
        <f>IFERROR(Tabla347[[#This Row],[USD]]/$B$1,"")</f>
        <v/>
      </c>
    </row>
    <row r="45" spans="4:11" ht="15.75" x14ac:dyDescent="0.25">
      <c r="D45" s="2">
        <v>44</v>
      </c>
      <c r="E45" s="6"/>
      <c r="F45" s="2"/>
      <c r="G45" s="2"/>
      <c r="H45" s="2"/>
      <c r="I45" s="2" t="str">
        <f t="shared" si="0"/>
        <v/>
      </c>
      <c r="J45" s="3"/>
      <c r="K45" s="5" t="str">
        <f>IFERROR(Tabla347[[#This Row],[USD]]/$B$1,"")</f>
        <v/>
      </c>
    </row>
    <row r="46" spans="4:11" ht="15.75" x14ac:dyDescent="0.25">
      <c r="D46" s="2">
        <v>45</v>
      </c>
      <c r="E46" s="6"/>
      <c r="F46" s="2"/>
      <c r="G46" s="2"/>
      <c r="H46" s="2"/>
      <c r="I46" s="2" t="str">
        <f t="shared" si="0"/>
        <v/>
      </c>
      <c r="J46" s="3"/>
      <c r="K46" s="5" t="str">
        <f>IFERROR(Tabla347[[#This Row],[USD]]/$B$1,"")</f>
        <v/>
      </c>
    </row>
    <row r="47" spans="4:11" ht="15.75" x14ac:dyDescent="0.25">
      <c r="D47" s="2">
        <v>46</v>
      </c>
      <c r="E47" s="6"/>
      <c r="F47" s="2"/>
      <c r="G47" s="2"/>
      <c r="H47" s="2"/>
      <c r="I47" s="2" t="str">
        <f t="shared" si="0"/>
        <v/>
      </c>
      <c r="J47" s="3"/>
      <c r="K47" s="5" t="str">
        <f>IFERROR(Tabla347[[#This Row],[USD]]/$B$1,"")</f>
        <v/>
      </c>
    </row>
    <row r="48" spans="4:11" ht="15.75" x14ac:dyDescent="0.25">
      <c r="D48" s="2">
        <v>47</v>
      </c>
      <c r="E48" s="6"/>
      <c r="F48" s="2"/>
      <c r="G48" s="2"/>
      <c r="H48" s="2"/>
      <c r="I48" s="2" t="str">
        <f t="shared" si="0"/>
        <v/>
      </c>
      <c r="J48" s="3"/>
      <c r="K48" s="5" t="str">
        <f>IFERROR(Tabla347[[#This Row],[USD]]/$B$1,"")</f>
        <v/>
      </c>
    </row>
    <row r="49" spans="4:11" ht="15.75" x14ac:dyDescent="0.25">
      <c r="D49" s="2">
        <v>48</v>
      </c>
      <c r="E49" s="6"/>
      <c r="F49" s="2"/>
      <c r="G49" s="2"/>
      <c r="H49" s="2"/>
      <c r="I49" s="2" t="str">
        <f t="shared" si="0"/>
        <v/>
      </c>
      <c r="J49" s="3"/>
      <c r="K49" s="5" t="str">
        <f>IFERROR(Tabla347[[#This Row],[USD]]/$B$1,"")</f>
        <v/>
      </c>
    </row>
    <row r="50" spans="4:11" ht="15.75" x14ac:dyDescent="0.25">
      <c r="D50" s="2">
        <v>49</v>
      </c>
      <c r="E50" s="6"/>
      <c r="F50" s="2"/>
      <c r="G50" s="2"/>
      <c r="H50" s="2"/>
      <c r="I50" s="2" t="str">
        <f t="shared" si="0"/>
        <v/>
      </c>
      <c r="J50" s="3"/>
      <c r="K50" s="5" t="str">
        <f>IFERROR(Tabla347[[#This Row],[USD]]/$B$1,"")</f>
        <v/>
      </c>
    </row>
    <row r="51" spans="4:11" ht="15.75" x14ac:dyDescent="0.25">
      <c r="D51" s="2">
        <v>50</v>
      </c>
      <c r="E51" s="6"/>
      <c r="F51" s="2"/>
      <c r="G51" s="2"/>
      <c r="H51" s="2"/>
      <c r="I51" s="2" t="str">
        <f t="shared" si="0"/>
        <v/>
      </c>
      <c r="J51" s="3"/>
      <c r="K51" s="5" t="str">
        <f>IFERROR(Tabla347[[#This Row],[USD]]/$B$1,"")</f>
        <v/>
      </c>
    </row>
    <row r="52" spans="4:11" ht="15.75" x14ac:dyDescent="0.25">
      <c r="D52" s="2">
        <v>51</v>
      </c>
      <c r="E52" s="6"/>
      <c r="F52" s="2"/>
      <c r="G52" s="2"/>
      <c r="H52" s="2"/>
      <c r="I52" s="2" t="str">
        <f t="shared" si="0"/>
        <v/>
      </c>
      <c r="J52" s="3"/>
      <c r="K52" s="5" t="str">
        <f>IFERROR(Tabla347[[#This Row],[USD]]/$B$1,"")</f>
        <v/>
      </c>
    </row>
    <row r="53" spans="4:11" ht="15.75" x14ac:dyDescent="0.25">
      <c r="D53" s="2">
        <v>52</v>
      </c>
      <c r="E53" s="6"/>
      <c r="F53" s="2"/>
      <c r="G53" s="2"/>
      <c r="H53" s="2"/>
      <c r="I53" s="2" t="str">
        <f t="shared" si="0"/>
        <v/>
      </c>
      <c r="J53" s="3"/>
      <c r="K53" s="5" t="str">
        <f>IFERROR(Tabla347[[#This Row],[USD]]/$B$1,"")</f>
        <v/>
      </c>
    </row>
    <row r="54" spans="4:11" ht="15.75" x14ac:dyDescent="0.25">
      <c r="D54" s="2">
        <v>53</v>
      </c>
      <c r="E54" s="6"/>
      <c r="F54" s="2"/>
      <c r="G54" s="2"/>
      <c r="H54" s="2"/>
      <c r="I54" s="2" t="str">
        <f t="shared" si="0"/>
        <v/>
      </c>
      <c r="J54" s="3"/>
      <c r="K54" s="5" t="str">
        <f>IFERROR(Tabla347[[#This Row],[USD]]/$B$1,"")</f>
        <v/>
      </c>
    </row>
    <row r="55" spans="4:11" ht="15.75" x14ac:dyDescent="0.25">
      <c r="D55" s="2">
        <v>54</v>
      </c>
      <c r="E55" s="6"/>
      <c r="F55" s="2"/>
      <c r="G55" s="2"/>
      <c r="H55" s="2"/>
      <c r="I55" s="2" t="str">
        <f t="shared" si="0"/>
        <v/>
      </c>
      <c r="J55" s="3"/>
      <c r="K55" s="5" t="str">
        <f>IFERROR(Tabla347[[#This Row],[USD]]/$B$1,"")</f>
        <v/>
      </c>
    </row>
    <row r="56" spans="4:11" ht="15.75" x14ac:dyDescent="0.25">
      <c r="D56" s="2">
        <v>55</v>
      </c>
      <c r="E56" s="6"/>
      <c r="F56" s="2"/>
      <c r="G56" s="2"/>
      <c r="H56" s="2"/>
      <c r="I56" s="2" t="str">
        <f t="shared" si="0"/>
        <v/>
      </c>
      <c r="J56" s="3"/>
      <c r="K56" s="5" t="str">
        <f>IFERROR(Tabla347[[#This Row],[USD]]/$B$1,"")</f>
        <v/>
      </c>
    </row>
    <row r="57" spans="4:11" ht="15.75" x14ac:dyDescent="0.25">
      <c r="D57" s="2">
        <v>56</v>
      </c>
      <c r="E57" s="6"/>
      <c r="F57" s="2"/>
      <c r="G57" s="2"/>
      <c r="H57" s="2"/>
      <c r="I57" s="2" t="str">
        <f t="shared" si="0"/>
        <v/>
      </c>
      <c r="J57" s="3"/>
      <c r="K57" s="5" t="str">
        <f>IFERROR(Tabla347[[#This Row],[USD]]/$B$1,"")</f>
        <v/>
      </c>
    </row>
    <row r="58" spans="4:11" ht="15.75" x14ac:dyDescent="0.25">
      <c r="D58" s="2">
        <v>57</v>
      </c>
      <c r="E58" s="6"/>
      <c r="F58" s="2"/>
      <c r="G58" s="2"/>
      <c r="H58" s="2"/>
      <c r="I58" s="2" t="str">
        <f t="shared" si="0"/>
        <v/>
      </c>
      <c r="J58" s="3"/>
      <c r="K58" s="5" t="str">
        <f>IFERROR(Tabla347[[#This Row],[USD]]/$B$1,"")</f>
        <v/>
      </c>
    </row>
    <row r="59" spans="4:11" ht="15.75" x14ac:dyDescent="0.25">
      <c r="D59" s="2">
        <v>58</v>
      </c>
      <c r="E59" s="6"/>
      <c r="F59" s="2"/>
      <c r="G59" s="2"/>
      <c r="H59" s="2"/>
      <c r="I59" s="2" t="str">
        <f t="shared" si="0"/>
        <v/>
      </c>
      <c r="J59" s="3"/>
      <c r="K59" s="5" t="str">
        <f>IFERROR(Tabla347[[#This Row],[USD]]/$B$1,"")</f>
        <v/>
      </c>
    </row>
    <row r="60" spans="4:11" ht="15.75" x14ac:dyDescent="0.25">
      <c r="D60" s="2">
        <v>59</v>
      </c>
      <c r="E60" s="6"/>
      <c r="F60" s="2"/>
      <c r="G60" s="2"/>
      <c r="H60" s="2"/>
      <c r="I60" s="2" t="str">
        <f t="shared" si="0"/>
        <v/>
      </c>
      <c r="J60" s="3"/>
      <c r="K60" s="5" t="str">
        <f>IFERROR(Tabla347[[#This Row],[USD]]/$B$1,"")</f>
        <v/>
      </c>
    </row>
    <row r="61" spans="4:11" ht="15.75" x14ac:dyDescent="0.25">
      <c r="D61" s="2">
        <v>60</v>
      </c>
      <c r="E61" s="6"/>
      <c r="F61" s="2"/>
      <c r="G61" s="2"/>
      <c r="H61" s="2"/>
      <c r="I61" s="2" t="str">
        <f t="shared" si="0"/>
        <v/>
      </c>
      <c r="J61" s="3"/>
      <c r="K61" s="5" t="str">
        <f>IFERROR(Tabla347[[#This Row],[USD]]/$B$1,"")</f>
        <v/>
      </c>
    </row>
    <row r="62" spans="4:11" ht="15.75" x14ac:dyDescent="0.25">
      <c r="D62" s="2">
        <v>61</v>
      </c>
      <c r="E62" s="6"/>
      <c r="F62" s="2"/>
      <c r="G62" s="2"/>
      <c r="H62" s="2"/>
      <c r="I62" s="2" t="str">
        <f t="shared" si="0"/>
        <v/>
      </c>
      <c r="J62" s="3"/>
      <c r="K62" s="5" t="str">
        <f>IFERROR(Tabla347[[#This Row],[USD]]/$B$1,"")</f>
        <v/>
      </c>
    </row>
    <row r="63" spans="4:11" ht="15.75" x14ac:dyDescent="0.25">
      <c r="D63" s="2">
        <v>62</v>
      </c>
      <c r="E63" s="6"/>
      <c r="F63" s="2"/>
      <c r="G63" s="2"/>
      <c r="H63" s="2"/>
      <c r="I63" s="2" t="str">
        <f t="shared" si="0"/>
        <v/>
      </c>
      <c r="J63" s="3"/>
      <c r="K63" s="5" t="str">
        <f>IFERROR(Tabla347[[#This Row],[USD]]/$B$1,"")</f>
        <v/>
      </c>
    </row>
    <row r="64" spans="4:11" ht="15.75" x14ac:dyDescent="0.25">
      <c r="D64" s="2">
        <v>63</v>
      </c>
      <c r="E64" s="6"/>
      <c r="F64" s="2"/>
      <c r="G64" s="2"/>
      <c r="H64" s="2"/>
      <c r="I64" s="2" t="str">
        <f t="shared" si="0"/>
        <v/>
      </c>
      <c r="J64" s="3"/>
      <c r="K64" s="5" t="str">
        <f>IFERROR(Tabla347[[#This Row],[USD]]/$B$1,"")</f>
        <v/>
      </c>
    </row>
    <row r="65" spans="4:11" ht="15.75" x14ac:dyDescent="0.25">
      <c r="D65" s="2">
        <v>64</v>
      </c>
      <c r="E65" s="6"/>
      <c r="F65" s="2"/>
      <c r="G65" s="2"/>
      <c r="H65" s="2"/>
      <c r="I65" s="2" t="str">
        <f t="shared" si="0"/>
        <v/>
      </c>
      <c r="J65" s="3"/>
      <c r="K65" s="5" t="str">
        <f>IFERROR(Tabla347[[#This Row],[USD]]/$B$1,"")</f>
        <v/>
      </c>
    </row>
    <row r="66" spans="4:11" ht="15.75" x14ac:dyDescent="0.25">
      <c r="D66" s="2">
        <v>65</v>
      </c>
      <c r="E66" s="6"/>
      <c r="F66" s="2"/>
      <c r="G66" s="2"/>
      <c r="H66" s="2"/>
      <c r="I66" s="2" t="str">
        <f t="shared" si="0"/>
        <v/>
      </c>
      <c r="J66" s="3"/>
      <c r="K66" s="5" t="str">
        <f>IFERROR(Tabla347[[#This Row],[USD]]/$B$1,"")</f>
        <v/>
      </c>
    </row>
    <row r="67" spans="4:11" ht="15.75" x14ac:dyDescent="0.25">
      <c r="D67" s="2">
        <v>66</v>
      </c>
      <c r="E67" s="6"/>
      <c r="F67" s="2"/>
      <c r="G67" s="2"/>
      <c r="H67" s="2"/>
      <c r="I67" s="2" t="str">
        <f t="shared" ref="I67:I130" si="1">IF(J67="","",IF(J67&gt;3,"Ganado",IF(J67&lt;-3,"Perdido","Break Even")))</f>
        <v/>
      </c>
      <c r="J67" s="3"/>
      <c r="K67" s="5" t="str">
        <f>IFERROR(Tabla347[[#This Row],[USD]]/$B$1,"")</f>
        <v/>
      </c>
    </row>
    <row r="68" spans="4:11" ht="15.75" x14ac:dyDescent="0.25">
      <c r="D68" s="2">
        <v>67</v>
      </c>
      <c r="E68" s="6"/>
      <c r="F68" s="2"/>
      <c r="G68" s="2"/>
      <c r="H68" s="2"/>
      <c r="I68" s="2" t="str">
        <f t="shared" si="1"/>
        <v/>
      </c>
      <c r="J68" s="3"/>
      <c r="K68" s="5" t="str">
        <f>IFERROR(Tabla347[[#This Row],[USD]]/$B$1,"")</f>
        <v/>
      </c>
    </row>
    <row r="69" spans="4:11" ht="15.75" x14ac:dyDescent="0.25">
      <c r="D69" s="2">
        <v>68</v>
      </c>
      <c r="E69" s="6"/>
      <c r="F69" s="2"/>
      <c r="G69" s="2"/>
      <c r="H69" s="2"/>
      <c r="I69" s="2" t="str">
        <f t="shared" si="1"/>
        <v/>
      </c>
      <c r="J69" s="3"/>
      <c r="K69" s="5" t="str">
        <f>IFERROR(Tabla347[[#This Row],[USD]]/$B$1,"")</f>
        <v/>
      </c>
    </row>
    <row r="70" spans="4:11" ht="15.75" x14ac:dyDescent="0.25">
      <c r="D70" s="2">
        <v>69</v>
      </c>
      <c r="E70" s="6"/>
      <c r="F70" s="2"/>
      <c r="G70" s="2"/>
      <c r="H70" s="2"/>
      <c r="I70" s="2" t="str">
        <f t="shared" si="1"/>
        <v/>
      </c>
      <c r="J70" s="3"/>
      <c r="K70" s="5" t="str">
        <f>IFERROR(Tabla347[[#This Row],[USD]]/$B$1,"")</f>
        <v/>
      </c>
    </row>
    <row r="71" spans="4:11" ht="15.75" x14ac:dyDescent="0.25">
      <c r="D71" s="2">
        <v>70</v>
      </c>
      <c r="E71" s="6"/>
      <c r="F71" s="2"/>
      <c r="G71" s="2"/>
      <c r="H71" s="2"/>
      <c r="I71" s="2" t="str">
        <f t="shared" si="1"/>
        <v/>
      </c>
      <c r="J71" s="3"/>
      <c r="K71" s="5" t="str">
        <f>IFERROR(Tabla347[[#This Row],[USD]]/$B$1,"")</f>
        <v/>
      </c>
    </row>
    <row r="72" spans="4:11" ht="15.75" x14ac:dyDescent="0.25">
      <c r="D72" s="2">
        <v>71</v>
      </c>
      <c r="E72" s="6"/>
      <c r="F72" s="2"/>
      <c r="G72" s="2"/>
      <c r="H72" s="2"/>
      <c r="I72" s="2" t="str">
        <f t="shared" si="1"/>
        <v/>
      </c>
      <c r="J72" s="3"/>
      <c r="K72" s="5" t="str">
        <f>IFERROR(Tabla347[[#This Row],[USD]]/$B$1,"")</f>
        <v/>
      </c>
    </row>
    <row r="73" spans="4:11" ht="15.75" x14ac:dyDescent="0.25">
      <c r="D73" s="2">
        <v>72</v>
      </c>
      <c r="E73" s="6"/>
      <c r="F73" s="2"/>
      <c r="G73" s="2"/>
      <c r="H73" s="2"/>
      <c r="I73" s="2" t="str">
        <f t="shared" si="1"/>
        <v/>
      </c>
      <c r="J73" s="3"/>
      <c r="K73" s="5" t="str">
        <f>IFERROR(Tabla347[[#This Row],[USD]]/$B$1,"")</f>
        <v/>
      </c>
    </row>
    <row r="74" spans="4:11" ht="15.75" x14ac:dyDescent="0.25">
      <c r="D74" s="2">
        <v>73</v>
      </c>
      <c r="E74" s="6"/>
      <c r="F74" s="2"/>
      <c r="G74" s="2"/>
      <c r="H74" s="2"/>
      <c r="I74" s="2" t="str">
        <f t="shared" si="1"/>
        <v/>
      </c>
      <c r="J74" s="3"/>
      <c r="K74" s="5" t="str">
        <f>IFERROR(Tabla347[[#This Row],[USD]]/$B$1,"")</f>
        <v/>
      </c>
    </row>
    <row r="75" spans="4:11" ht="15.75" x14ac:dyDescent="0.25">
      <c r="D75" s="2">
        <v>74</v>
      </c>
      <c r="E75" s="6"/>
      <c r="F75" s="2"/>
      <c r="G75" s="2"/>
      <c r="H75" s="2"/>
      <c r="I75" s="2" t="str">
        <f t="shared" si="1"/>
        <v/>
      </c>
      <c r="J75" s="3"/>
      <c r="K75" s="5" t="str">
        <f>IFERROR(Tabla347[[#This Row],[USD]]/$B$1,"")</f>
        <v/>
      </c>
    </row>
    <row r="76" spans="4:11" ht="15.75" x14ac:dyDescent="0.25">
      <c r="D76" s="2">
        <v>75</v>
      </c>
      <c r="E76" s="6"/>
      <c r="F76" s="2"/>
      <c r="G76" s="2"/>
      <c r="H76" s="2"/>
      <c r="I76" s="2" t="str">
        <f t="shared" si="1"/>
        <v/>
      </c>
      <c r="J76" s="3"/>
      <c r="K76" s="5" t="str">
        <f>IFERROR(Tabla347[[#This Row],[USD]]/$B$1,"")</f>
        <v/>
      </c>
    </row>
    <row r="77" spans="4:11" ht="15.75" x14ac:dyDescent="0.25">
      <c r="D77" s="2">
        <v>76</v>
      </c>
      <c r="E77" s="6"/>
      <c r="F77" s="2"/>
      <c r="G77" s="2"/>
      <c r="H77" s="2"/>
      <c r="I77" s="2" t="str">
        <f t="shared" si="1"/>
        <v/>
      </c>
      <c r="J77" s="3"/>
      <c r="K77" s="5" t="str">
        <f>IFERROR(Tabla347[[#This Row],[USD]]/$B$1,"")</f>
        <v/>
      </c>
    </row>
    <row r="78" spans="4:11" ht="15.75" x14ac:dyDescent="0.25">
      <c r="D78" s="2">
        <v>77</v>
      </c>
      <c r="E78" s="6"/>
      <c r="F78" s="2"/>
      <c r="G78" s="2"/>
      <c r="H78" s="2"/>
      <c r="I78" s="2" t="str">
        <f t="shared" si="1"/>
        <v/>
      </c>
      <c r="J78" s="3"/>
      <c r="K78" s="5" t="str">
        <f>IFERROR(Tabla347[[#This Row],[USD]]/$B$1,"")</f>
        <v/>
      </c>
    </row>
    <row r="79" spans="4:11" ht="15.75" x14ac:dyDescent="0.25">
      <c r="D79" s="2">
        <v>78</v>
      </c>
      <c r="E79" s="6"/>
      <c r="F79" s="2"/>
      <c r="G79" s="2"/>
      <c r="H79" s="2"/>
      <c r="I79" s="2" t="str">
        <f t="shared" si="1"/>
        <v/>
      </c>
      <c r="J79" s="3"/>
      <c r="K79" s="5" t="str">
        <f>IFERROR(Tabla347[[#This Row],[USD]]/$B$1,"")</f>
        <v/>
      </c>
    </row>
    <row r="80" spans="4:11" ht="15.75" x14ac:dyDescent="0.25">
      <c r="D80" s="2">
        <v>79</v>
      </c>
      <c r="E80" s="6"/>
      <c r="F80" s="2"/>
      <c r="G80" s="2"/>
      <c r="H80" s="2"/>
      <c r="I80" s="2" t="str">
        <f t="shared" si="1"/>
        <v/>
      </c>
      <c r="J80" s="3"/>
      <c r="K80" s="5" t="str">
        <f>IFERROR(Tabla347[[#This Row],[USD]]/$B$1,"")</f>
        <v/>
      </c>
    </row>
    <row r="81" spans="4:11" ht="15.75" x14ac:dyDescent="0.25">
      <c r="D81" s="2">
        <v>80</v>
      </c>
      <c r="E81" s="6"/>
      <c r="F81" s="2"/>
      <c r="G81" s="2"/>
      <c r="H81" s="2"/>
      <c r="I81" s="2" t="str">
        <f t="shared" si="1"/>
        <v/>
      </c>
      <c r="J81" s="3"/>
      <c r="K81" s="5" t="str">
        <f>IFERROR(Tabla347[[#This Row],[USD]]/$B$1,"")</f>
        <v/>
      </c>
    </row>
    <row r="82" spans="4:11" ht="15.75" x14ac:dyDescent="0.25">
      <c r="D82" s="2">
        <v>81</v>
      </c>
      <c r="E82" s="6"/>
      <c r="F82" s="2"/>
      <c r="G82" s="2"/>
      <c r="H82" s="2"/>
      <c r="I82" s="2" t="str">
        <f t="shared" si="1"/>
        <v/>
      </c>
      <c r="J82" s="3"/>
      <c r="K82" s="5" t="str">
        <f>IFERROR(Tabla347[[#This Row],[USD]]/$B$1,"")</f>
        <v/>
      </c>
    </row>
    <row r="83" spans="4:11" ht="15.75" x14ac:dyDescent="0.25">
      <c r="D83" s="2">
        <v>82</v>
      </c>
      <c r="E83" s="6"/>
      <c r="F83" s="2"/>
      <c r="G83" s="2"/>
      <c r="H83" s="2"/>
      <c r="I83" s="2" t="str">
        <f t="shared" si="1"/>
        <v/>
      </c>
      <c r="J83" s="3"/>
      <c r="K83" s="5" t="str">
        <f>IFERROR(Tabla347[[#This Row],[USD]]/$B$1,"")</f>
        <v/>
      </c>
    </row>
    <row r="84" spans="4:11" ht="15.75" x14ac:dyDescent="0.25">
      <c r="D84" s="2">
        <v>83</v>
      </c>
      <c r="E84" s="6"/>
      <c r="F84" s="2"/>
      <c r="G84" s="2"/>
      <c r="H84" s="2"/>
      <c r="I84" s="2" t="str">
        <f t="shared" si="1"/>
        <v/>
      </c>
      <c r="J84" s="3"/>
      <c r="K84" s="5" t="str">
        <f>IFERROR(Tabla347[[#This Row],[USD]]/$B$1,"")</f>
        <v/>
      </c>
    </row>
    <row r="85" spans="4:11" ht="15.75" x14ac:dyDescent="0.25">
      <c r="D85" s="2">
        <v>84</v>
      </c>
      <c r="E85" s="6"/>
      <c r="F85" s="2"/>
      <c r="G85" s="2"/>
      <c r="H85" s="2"/>
      <c r="I85" s="2" t="str">
        <f t="shared" si="1"/>
        <v/>
      </c>
      <c r="J85" s="3"/>
      <c r="K85" s="5" t="str">
        <f>IFERROR(Tabla347[[#This Row],[USD]]/$B$1,"")</f>
        <v/>
      </c>
    </row>
    <row r="86" spans="4:11" ht="15.75" x14ac:dyDescent="0.25">
      <c r="D86" s="2">
        <v>85</v>
      </c>
      <c r="E86" s="6"/>
      <c r="F86" s="2"/>
      <c r="G86" s="2"/>
      <c r="H86" s="2"/>
      <c r="I86" s="2" t="str">
        <f t="shared" si="1"/>
        <v/>
      </c>
      <c r="J86" s="3"/>
      <c r="K86" s="5" t="str">
        <f>IFERROR(Tabla347[[#This Row],[USD]]/$B$1,"")</f>
        <v/>
      </c>
    </row>
    <row r="87" spans="4:11" ht="15.75" x14ac:dyDescent="0.25">
      <c r="D87" s="2">
        <v>86</v>
      </c>
      <c r="E87" s="6"/>
      <c r="F87" s="2"/>
      <c r="G87" s="2"/>
      <c r="H87" s="2"/>
      <c r="I87" s="2" t="str">
        <f t="shared" si="1"/>
        <v/>
      </c>
      <c r="J87" s="3"/>
      <c r="K87" s="5" t="str">
        <f>IFERROR(Tabla347[[#This Row],[USD]]/$B$1,"")</f>
        <v/>
      </c>
    </row>
    <row r="88" spans="4:11" ht="15.75" x14ac:dyDescent="0.25">
      <c r="D88" s="2">
        <v>87</v>
      </c>
      <c r="E88" s="6"/>
      <c r="F88" s="2"/>
      <c r="G88" s="2"/>
      <c r="H88" s="2"/>
      <c r="I88" s="2" t="str">
        <f t="shared" si="1"/>
        <v/>
      </c>
      <c r="J88" s="3"/>
      <c r="K88" s="5" t="str">
        <f>IFERROR(Tabla347[[#This Row],[USD]]/$B$1,"")</f>
        <v/>
      </c>
    </row>
    <row r="89" spans="4:11" ht="15.75" x14ac:dyDescent="0.25">
      <c r="D89" s="2">
        <v>88</v>
      </c>
      <c r="E89" s="6"/>
      <c r="F89" s="2"/>
      <c r="G89" s="2"/>
      <c r="H89" s="2"/>
      <c r="I89" s="2" t="str">
        <f t="shared" si="1"/>
        <v/>
      </c>
      <c r="J89" s="3"/>
      <c r="K89" s="5" t="str">
        <f>IFERROR(Tabla347[[#This Row],[USD]]/$B$1,"")</f>
        <v/>
      </c>
    </row>
    <row r="90" spans="4:11" ht="15.75" x14ac:dyDescent="0.25">
      <c r="D90" s="2">
        <v>89</v>
      </c>
      <c r="E90" s="6"/>
      <c r="F90" s="2"/>
      <c r="G90" s="2"/>
      <c r="H90" s="2"/>
      <c r="I90" s="2" t="str">
        <f t="shared" si="1"/>
        <v/>
      </c>
      <c r="J90" s="3"/>
      <c r="K90" s="5" t="str">
        <f>IFERROR(Tabla347[[#This Row],[USD]]/$B$1,"")</f>
        <v/>
      </c>
    </row>
    <row r="91" spans="4:11" ht="15.75" x14ac:dyDescent="0.25">
      <c r="D91" s="2">
        <v>90</v>
      </c>
      <c r="E91" s="6"/>
      <c r="F91" s="2"/>
      <c r="G91" s="2"/>
      <c r="H91" s="2"/>
      <c r="I91" s="2" t="str">
        <f t="shared" si="1"/>
        <v/>
      </c>
      <c r="J91" s="3"/>
      <c r="K91" s="5" t="str">
        <f>IFERROR(Tabla347[[#This Row],[USD]]/$B$1,"")</f>
        <v/>
      </c>
    </row>
    <row r="92" spans="4:11" ht="15.75" x14ac:dyDescent="0.25">
      <c r="D92" s="2">
        <v>91</v>
      </c>
      <c r="E92" s="6"/>
      <c r="F92" s="2"/>
      <c r="G92" s="2"/>
      <c r="H92" s="2"/>
      <c r="I92" s="2" t="str">
        <f t="shared" si="1"/>
        <v/>
      </c>
      <c r="J92" s="3"/>
      <c r="K92" s="5" t="str">
        <f>IFERROR(Tabla347[[#This Row],[USD]]/$B$1,"")</f>
        <v/>
      </c>
    </row>
    <row r="93" spans="4:11" ht="15.75" x14ac:dyDescent="0.25">
      <c r="D93" s="2">
        <v>92</v>
      </c>
      <c r="E93" s="6"/>
      <c r="F93" s="2"/>
      <c r="G93" s="2"/>
      <c r="H93" s="2"/>
      <c r="I93" s="2" t="str">
        <f t="shared" si="1"/>
        <v/>
      </c>
      <c r="J93" s="3"/>
      <c r="K93" s="5" t="str">
        <f>IFERROR(Tabla347[[#This Row],[USD]]/$B$1,"")</f>
        <v/>
      </c>
    </row>
    <row r="94" spans="4:11" ht="15.75" x14ac:dyDescent="0.25">
      <c r="D94" s="2">
        <v>93</v>
      </c>
      <c r="E94" s="6"/>
      <c r="F94" s="2"/>
      <c r="G94" s="2"/>
      <c r="H94" s="2"/>
      <c r="I94" s="2" t="str">
        <f t="shared" si="1"/>
        <v/>
      </c>
      <c r="J94" s="3"/>
      <c r="K94" s="5" t="str">
        <f>IFERROR(Tabla347[[#This Row],[USD]]/$B$1,"")</f>
        <v/>
      </c>
    </row>
    <row r="95" spans="4:11" ht="15.75" x14ac:dyDescent="0.25">
      <c r="D95" s="2">
        <v>94</v>
      </c>
      <c r="E95" s="6"/>
      <c r="F95" s="2"/>
      <c r="G95" s="2"/>
      <c r="H95" s="2"/>
      <c r="I95" s="2" t="str">
        <f t="shared" si="1"/>
        <v/>
      </c>
      <c r="J95" s="3"/>
      <c r="K95" s="5" t="str">
        <f>IFERROR(Tabla347[[#This Row],[USD]]/$B$1,"")</f>
        <v/>
      </c>
    </row>
    <row r="96" spans="4:11" ht="15.75" x14ac:dyDescent="0.25">
      <c r="D96" s="2">
        <v>95</v>
      </c>
      <c r="E96" s="6"/>
      <c r="F96" s="2"/>
      <c r="G96" s="2"/>
      <c r="H96" s="2"/>
      <c r="I96" s="2" t="str">
        <f t="shared" si="1"/>
        <v/>
      </c>
      <c r="J96" s="3"/>
      <c r="K96" s="5" t="str">
        <f>IFERROR(Tabla347[[#This Row],[USD]]/$B$1,"")</f>
        <v/>
      </c>
    </row>
    <row r="97" spans="4:11" ht="15.75" x14ac:dyDescent="0.25">
      <c r="D97" s="2">
        <v>96</v>
      </c>
      <c r="E97" s="6"/>
      <c r="F97" s="2"/>
      <c r="G97" s="2"/>
      <c r="H97" s="2"/>
      <c r="I97" s="2" t="str">
        <f t="shared" si="1"/>
        <v/>
      </c>
      <c r="J97" s="3"/>
      <c r="K97" s="5" t="str">
        <f>IFERROR(Tabla347[[#This Row],[USD]]/$B$1,"")</f>
        <v/>
      </c>
    </row>
    <row r="98" spans="4:11" ht="15.75" x14ac:dyDescent="0.25">
      <c r="D98" s="2">
        <v>97</v>
      </c>
      <c r="E98" s="6"/>
      <c r="F98" s="2"/>
      <c r="G98" s="2"/>
      <c r="H98" s="2"/>
      <c r="I98" s="2" t="str">
        <f t="shared" si="1"/>
        <v/>
      </c>
      <c r="J98" s="3"/>
      <c r="K98" s="5" t="str">
        <f>IFERROR(Tabla347[[#This Row],[USD]]/$B$1,"")</f>
        <v/>
      </c>
    </row>
    <row r="99" spans="4:11" ht="15.75" x14ac:dyDescent="0.25">
      <c r="D99" s="2">
        <v>98</v>
      </c>
      <c r="E99" s="6"/>
      <c r="F99" s="2"/>
      <c r="G99" s="2"/>
      <c r="H99" s="2"/>
      <c r="I99" s="2" t="str">
        <f t="shared" si="1"/>
        <v/>
      </c>
      <c r="J99" s="3"/>
      <c r="K99" s="5" t="str">
        <f>IFERROR(Tabla347[[#This Row],[USD]]/$B$1,"")</f>
        <v/>
      </c>
    </row>
    <row r="100" spans="4:11" ht="15.75" x14ac:dyDescent="0.25">
      <c r="D100" s="2">
        <v>99</v>
      </c>
      <c r="E100" s="6"/>
      <c r="F100" s="2"/>
      <c r="G100" s="2"/>
      <c r="H100" s="2"/>
      <c r="I100" s="2" t="str">
        <f t="shared" si="1"/>
        <v/>
      </c>
      <c r="J100" s="3"/>
      <c r="K100" s="5" t="str">
        <f>IFERROR(Tabla347[[#This Row],[USD]]/$B$1,"")</f>
        <v/>
      </c>
    </row>
    <row r="101" spans="4:11" ht="15.75" x14ac:dyDescent="0.25">
      <c r="D101" s="2">
        <v>100</v>
      </c>
      <c r="E101" s="6"/>
      <c r="F101" s="2"/>
      <c r="G101" s="2"/>
      <c r="H101" s="2"/>
      <c r="I101" s="2" t="str">
        <f t="shared" si="1"/>
        <v/>
      </c>
      <c r="J101" s="3"/>
      <c r="K101" s="5" t="str">
        <f>IFERROR(Tabla347[[#This Row],[USD]]/$B$1,"")</f>
        <v/>
      </c>
    </row>
    <row r="102" spans="4:11" ht="15.75" x14ac:dyDescent="0.25">
      <c r="D102" s="2">
        <v>101</v>
      </c>
      <c r="E102" s="6"/>
      <c r="F102" s="2"/>
      <c r="G102" s="2"/>
      <c r="H102" s="2"/>
      <c r="I102" s="2" t="str">
        <f t="shared" si="1"/>
        <v/>
      </c>
      <c r="J102" s="3"/>
      <c r="K102" s="5" t="str">
        <f>IFERROR(Tabla347[[#This Row],[USD]]/$B$1,"")</f>
        <v/>
      </c>
    </row>
    <row r="103" spans="4:11" ht="15.75" x14ac:dyDescent="0.25">
      <c r="D103" s="2">
        <v>102</v>
      </c>
      <c r="E103" s="6"/>
      <c r="F103" s="2"/>
      <c r="G103" s="2"/>
      <c r="H103" s="2"/>
      <c r="I103" s="2" t="str">
        <f t="shared" si="1"/>
        <v/>
      </c>
      <c r="J103" s="3"/>
      <c r="K103" s="5" t="str">
        <f>IFERROR(Tabla347[[#This Row],[USD]]/$B$1,"")</f>
        <v/>
      </c>
    </row>
    <row r="104" spans="4:11" ht="15.75" x14ac:dyDescent="0.25">
      <c r="D104" s="2">
        <v>103</v>
      </c>
      <c r="E104" s="6"/>
      <c r="F104" s="2"/>
      <c r="G104" s="2"/>
      <c r="H104" s="2"/>
      <c r="I104" s="2" t="str">
        <f t="shared" si="1"/>
        <v/>
      </c>
      <c r="J104" s="3"/>
      <c r="K104" s="5" t="str">
        <f>IFERROR(Tabla347[[#This Row],[USD]]/$B$1,"")</f>
        <v/>
      </c>
    </row>
    <row r="105" spans="4:11" ht="15.75" x14ac:dyDescent="0.25">
      <c r="D105" s="2">
        <v>104</v>
      </c>
      <c r="E105" s="6"/>
      <c r="F105" s="2"/>
      <c r="G105" s="2"/>
      <c r="H105" s="2"/>
      <c r="I105" s="2" t="str">
        <f t="shared" si="1"/>
        <v/>
      </c>
      <c r="J105" s="3"/>
      <c r="K105" s="5" t="str">
        <f>IFERROR(Tabla347[[#This Row],[USD]]/$B$1,"")</f>
        <v/>
      </c>
    </row>
    <row r="106" spans="4:11" ht="15.75" x14ac:dyDescent="0.25">
      <c r="D106" s="2">
        <v>105</v>
      </c>
      <c r="E106" s="6"/>
      <c r="F106" s="2"/>
      <c r="G106" s="2"/>
      <c r="H106" s="2"/>
      <c r="I106" s="2" t="str">
        <f t="shared" si="1"/>
        <v/>
      </c>
      <c r="J106" s="3"/>
      <c r="K106" s="5" t="str">
        <f>IFERROR(Tabla347[[#This Row],[USD]]/$B$1,"")</f>
        <v/>
      </c>
    </row>
    <row r="107" spans="4:11" ht="15.75" x14ac:dyDescent="0.25">
      <c r="D107" s="2">
        <v>106</v>
      </c>
      <c r="E107" s="6"/>
      <c r="F107" s="2"/>
      <c r="G107" s="2"/>
      <c r="H107" s="2"/>
      <c r="I107" s="2" t="str">
        <f t="shared" si="1"/>
        <v/>
      </c>
      <c r="J107" s="3"/>
      <c r="K107" s="5" t="str">
        <f>IFERROR(Tabla347[[#This Row],[USD]]/$B$1,"")</f>
        <v/>
      </c>
    </row>
    <row r="108" spans="4:11" ht="15.75" x14ac:dyDescent="0.25">
      <c r="D108" s="2">
        <v>107</v>
      </c>
      <c r="E108" s="6"/>
      <c r="F108" s="2"/>
      <c r="G108" s="2"/>
      <c r="H108" s="2"/>
      <c r="I108" s="2" t="str">
        <f t="shared" si="1"/>
        <v/>
      </c>
      <c r="J108" s="3"/>
      <c r="K108" s="5" t="str">
        <f>IFERROR(Tabla347[[#This Row],[USD]]/$B$1,"")</f>
        <v/>
      </c>
    </row>
    <row r="109" spans="4:11" ht="15.75" x14ac:dyDescent="0.25">
      <c r="D109" s="2">
        <v>108</v>
      </c>
      <c r="E109" s="6"/>
      <c r="F109" s="2"/>
      <c r="G109" s="2"/>
      <c r="H109" s="2"/>
      <c r="I109" s="2" t="str">
        <f t="shared" si="1"/>
        <v/>
      </c>
      <c r="J109" s="3"/>
      <c r="K109" s="5" t="str">
        <f>IFERROR(Tabla347[[#This Row],[USD]]/$B$1,"")</f>
        <v/>
      </c>
    </row>
    <row r="110" spans="4:11" ht="15.75" x14ac:dyDescent="0.25">
      <c r="D110" s="2">
        <v>109</v>
      </c>
      <c r="E110" s="6"/>
      <c r="F110" s="2"/>
      <c r="G110" s="2"/>
      <c r="H110" s="2"/>
      <c r="I110" s="2" t="str">
        <f t="shared" si="1"/>
        <v/>
      </c>
      <c r="J110" s="3"/>
      <c r="K110" s="5" t="str">
        <f>IFERROR(Tabla347[[#This Row],[USD]]/$B$1,"")</f>
        <v/>
      </c>
    </row>
    <row r="111" spans="4:11" ht="15.75" x14ac:dyDescent="0.25">
      <c r="D111" s="2">
        <v>110</v>
      </c>
      <c r="E111" s="6"/>
      <c r="F111" s="2"/>
      <c r="G111" s="2"/>
      <c r="H111" s="2"/>
      <c r="I111" s="2" t="str">
        <f t="shared" si="1"/>
        <v/>
      </c>
      <c r="J111" s="3"/>
      <c r="K111" s="5" t="str">
        <f>IFERROR(Tabla347[[#This Row],[USD]]/$B$1,"")</f>
        <v/>
      </c>
    </row>
    <row r="112" spans="4:11" ht="15.75" x14ac:dyDescent="0.25">
      <c r="D112" s="2">
        <v>111</v>
      </c>
      <c r="E112" s="6"/>
      <c r="F112" s="2"/>
      <c r="G112" s="2"/>
      <c r="H112" s="2"/>
      <c r="I112" s="2" t="str">
        <f t="shared" si="1"/>
        <v/>
      </c>
      <c r="J112" s="3"/>
      <c r="K112" s="5" t="str">
        <f>IFERROR(Tabla347[[#This Row],[USD]]/$B$1,"")</f>
        <v/>
      </c>
    </row>
    <row r="113" spans="4:11" ht="15.75" x14ac:dyDescent="0.25">
      <c r="D113" s="2">
        <v>112</v>
      </c>
      <c r="E113" s="6"/>
      <c r="F113" s="2"/>
      <c r="G113" s="2"/>
      <c r="H113" s="2"/>
      <c r="I113" s="2" t="str">
        <f t="shared" si="1"/>
        <v/>
      </c>
      <c r="J113" s="3"/>
      <c r="K113" s="5" t="str">
        <f>IFERROR(Tabla347[[#This Row],[USD]]/$B$1,"")</f>
        <v/>
      </c>
    </row>
    <row r="114" spans="4:11" ht="15.75" x14ac:dyDescent="0.25">
      <c r="D114" s="2">
        <v>113</v>
      </c>
      <c r="E114" s="6"/>
      <c r="F114" s="2"/>
      <c r="G114" s="2"/>
      <c r="H114" s="2"/>
      <c r="I114" s="2" t="str">
        <f t="shared" si="1"/>
        <v/>
      </c>
      <c r="J114" s="3"/>
      <c r="K114" s="5" t="str">
        <f>IFERROR(Tabla347[[#This Row],[USD]]/$B$1,"")</f>
        <v/>
      </c>
    </row>
    <row r="115" spans="4:11" ht="15.75" x14ac:dyDescent="0.25">
      <c r="D115" s="2">
        <v>114</v>
      </c>
      <c r="E115" s="6"/>
      <c r="F115" s="2"/>
      <c r="G115" s="2"/>
      <c r="H115" s="2"/>
      <c r="I115" s="2" t="str">
        <f t="shared" si="1"/>
        <v/>
      </c>
      <c r="J115" s="3"/>
      <c r="K115" s="5" t="str">
        <f>IFERROR(Tabla347[[#This Row],[USD]]/$B$1,"")</f>
        <v/>
      </c>
    </row>
    <row r="116" spans="4:11" ht="15.75" x14ac:dyDescent="0.25">
      <c r="D116" s="2">
        <v>115</v>
      </c>
      <c r="E116" s="6"/>
      <c r="F116" s="2"/>
      <c r="G116" s="2"/>
      <c r="H116" s="2"/>
      <c r="I116" s="2" t="str">
        <f t="shared" si="1"/>
        <v/>
      </c>
      <c r="J116" s="3"/>
      <c r="K116" s="5" t="str">
        <f>IFERROR(Tabla347[[#This Row],[USD]]/$B$1,"")</f>
        <v/>
      </c>
    </row>
    <row r="117" spans="4:11" ht="15.75" x14ac:dyDescent="0.25">
      <c r="D117" s="2">
        <v>116</v>
      </c>
      <c r="E117" s="6"/>
      <c r="F117" s="2"/>
      <c r="G117" s="2"/>
      <c r="H117" s="2"/>
      <c r="I117" s="2" t="str">
        <f t="shared" si="1"/>
        <v/>
      </c>
      <c r="J117" s="3"/>
      <c r="K117" s="5" t="str">
        <f>IFERROR(Tabla347[[#This Row],[USD]]/$B$1,"")</f>
        <v/>
      </c>
    </row>
    <row r="118" spans="4:11" ht="15.75" x14ac:dyDescent="0.25">
      <c r="D118" s="2">
        <v>117</v>
      </c>
      <c r="E118" s="6"/>
      <c r="F118" s="2"/>
      <c r="G118" s="2"/>
      <c r="H118" s="2"/>
      <c r="I118" s="2" t="str">
        <f t="shared" si="1"/>
        <v/>
      </c>
      <c r="J118" s="3"/>
      <c r="K118" s="5" t="str">
        <f>IFERROR(Tabla347[[#This Row],[USD]]/$B$1,"")</f>
        <v/>
      </c>
    </row>
    <row r="119" spans="4:11" ht="15.75" x14ac:dyDescent="0.25">
      <c r="D119" s="2">
        <v>118</v>
      </c>
      <c r="E119" s="6"/>
      <c r="F119" s="2"/>
      <c r="G119" s="2"/>
      <c r="H119" s="2"/>
      <c r="I119" s="2" t="str">
        <f t="shared" si="1"/>
        <v/>
      </c>
      <c r="J119" s="3"/>
      <c r="K119" s="5" t="str">
        <f>IFERROR(Tabla347[[#This Row],[USD]]/$B$1,"")</f>
        <v/>
      </c>
    </row>
    <row r="120" spans="4:11" ht="15.75" x14ac:dyDescent="0.25">
      <c r="D120" s="2">
        <v>119</v>
      </c>
      <c r="E120" s="6"/>
      <c r="F120" s="2"/>
      <c r="G120" s="2"/>
      <c r="H120" s="2"/>
      <c r="I120" s="2" t="str">
        <f t="shared" si="1"/>
        <v/>
      </c>
      <c r="J120" s="3"/>
      <c r="K120" s="5" t="str">
        <f>IFERROR(Tabla347[[#This Row],[USD]]/$B$1,"")</f>
        <v/>
      </c>
    </row>
    <row r="121" spans="4:11" ht="15.75" x14ac:dyDescent="0.25">
      <c r="D121" s="2">
        <v>120</v>
      </c>
      <c r="E121" s="6"/>
      <c r="F121" s="2"/>
      <c r="G121" s="2"/>
      <c r="H121" s="2"/>
      <c r="I121" s="2" t="str">
        <f t="shared" si="1"/>
        <v/>
      </c>
      <c r="J121" s="3"/>
      <c r="K121" s="5" t="str">
        <f>IFERROR(Tabla347[[#This Row],[USD]]/$B$1,"")</f>
        <v/>
      </c>
    </row>
    <row r="122" spans="4:11" ht="15.75" x14ac:dyDescent="0.25">
      <c r="D122" s="2">
        <v>121</v>
      </c>
      <c r="E122" s="6"/>
      <c r="F122" s="2"/>
      <c r="G122" s="2"/>
      <c r="H122" s="2"/>
      <c r="I122" s="2" t="str">
        <f t="shared" si="1"/>
        <v/>
      </c>
      <c r="J122" s="3"/>
      <c r="K122" s="5" t="str">
        <f>IFERROR(Tabla347[[#This Row],[USD]]/$B$1,"")</f>
        <v/>
      </c>
    </row>
    <row r="123" spans="4:11" ht="15.75" x14ac:dyDescent="0.25">
      <c r="D123" s="2">
        <v>122</v>
      </c>
      <c r="E123" s="6"/>
      <c r="F123" s="2"/>
      <c r="G123" s="2"/>
      <c r="H123" s="2"/>
      <c r="I123" s="2" t="str">
        <f t="shared" si="1"/>
        <v/>
      </c>
      <c r="J123" s="3"/>
      <c r="K123" s="5" t="str">
        <f>IFERROR(Tabla347[[#This Row],[USD]]/$B$1,"")</f>
        <v/>
      </c>
    </row>
    <row r="124" spans="4:11" ht="15.75" x14ac:dyDescent="0.25">
      <c r="D124" s="2">
        <v>123</v>
      </c>
      <c r="E124" s="6"/>
      <c r="F124" s="2"/>
      <c r="G124" s="2"/>
      <c r="H124" s="2"/>
      <c r="I124" s="2" t="str">
        <f t="shared" si="1"/>
        <v/>
      </c>
      <c r="J124" s="3"/>
      <c r="K124" s="5" t="str">
        <f>IFERROR(Tabla347[[#This Row],[USD]]/$B$1,"")</f>
        <v/>
      </c>
    </row>
    <row r="125" spans="4:11" ht="15.75" x14ac:dyDescent="0.25">
      <c r="D125" s="2">
        <v>124</v>
      </c>
      <c r="E125" s="6"/>
      <c r="F125" s="2"/>
      <c r="G125" s="2"/>
      <c r="H125" s="2"/>
      <c r="I125" s="2" t="str">
        <f t="shared" si="1"/>
        <v/>
      </c>
      <c r="J125" s="3"/>
      <c r="K125" s="5" t="str">
        <f>IFERROR(Tabla347[[#This Row],[USD]]/$B$1,"")</f>
        <v/>
      </c>
    </row>
    <row r="126" spans="4:11" ht="15.75" x14ac:dyDescent="0.25">
      <c r="D126" s="2">
        <v>125</v>
      </c>
      <c r="E126" s="6"/>
      <c r="F126" s="2"/>
      <c r="G126" s="2"/>
      <c r="H126" s="2"/>
      <c r="I126" s="2" t="str">
        <f t="shared" si="1"/>
        <v/>
      </c>
      <c r="J126" s="3"/>
      <c r="K126" s="5" t="str">
        <f>IFERROR(Tabla347[[#This Row],[USD]]/$B$1,"")</f>
        <v/>
      </c>
    </row>
    <row r="127" spans="4:11" ht="15.75" x14ac:dyDescent="0.25">
      <c r="D127" s="2">
        <v>126</v>
      </c>
      <c r="E127" s="6"/>
      <c r="F127" s="2"/>
      <c r="G127" s="2"/>
      <c r="H127" s="2"/>
      <c r="I127" s="2" t="str">
        <f t="shared" si="1"/>
        <v/>
      </c>
      <c r="J127" s="3"/>
      <c r="K127" s="5" t="str">
        <f>IFERROR(Tabla347[[#This Row],[USD]]/$B$1,"")</f>
        <v/>
      </c>
    </row>
    <row r="128" spans="4:11" ht="15.75" x14ac:dyDescent="0.25">
      <c r="D128" s="2">
        <v>127</v>
      </c>
      <c r="E128" s="6"/>
      <c r="F128" s="2"/>
      <c r="G128" s="2"/>
      <c r="H128" s="2"/>
      <c r="I128" s="2" t="str">
        <f t="shared" si="1"/>
        <v/>
      </c>
      <c r="J128" s="3"/>
      <c r="K128" s="5" t="str">
        <f>IFERROR(Tabla347[[#This Row],[USD]]/$B$1,"")</f>
        <v/>
      </c>
    </row>
    <row r="129" spans="4:11" ht="15.75" x14ac:dyDescent="0.25">
      <c r="D129" s="2">
        <v>128</v>
      </c>
      <c r="E129" s="6"/>
      <c r="F129" s="2"/>
      <c r="G129" s="2"/>
      <c r="H129" s="2"/>
      <c r="I129" s="2" t="str">
        <f t="shared" si="1"/>
        <v/>
      </c>
      <c r="J129" s="3"/>
      <c r="K129" s="5" t="str">
        <f>IFERROR(Tabla347[[#This Row],[USD]]/$B$1,"")</f>
        <v/>
      </c>
    </row>
    <row r="130" spans="4:11" ht="15.75" x14ac:dyDescent="0.25">
      <c r="D130" s="2">
        <v>129</v>
      </c>
      <c r="E130" s="6"/>
      <c r="F130" s="2"/>
      <c r="G130" s="2"/>
      <c r="H130" s="2"/>
      <c r="I130" s="2" t="str">
        <f t="shared" si="1"/>
        <v/>
      </c>
      <c r="J130" s="3"/>
      <c r="K130" s="5" t="str">
        <f>IFERROR(Tabla347[[#This Row],[USD]]/$B$1,"")</f>
        <v/>
      </c>
    </row>
    <row r="131" spans="4:11" ht="15.75" x14ac:dyDescent="0.25">
      <c r="D131" s="2">
        <v>130</v>
      </c>
      <c r="E131" s="6"/>
      <c r="F131" s="2"/>
      <c r="G131" s="2"/>
      <c r="H131" s="2"/>
      <c r="I131" s="2" t="str">
        <f t="shared" ref="I131:I194" si="2">IF(J131="","",IF(J131&gt;3,"Ganado",IF(J131&lt;-3,"Perdido","Break Even")))</f>
        <v/>
      </c>
      <c r="J131" s="3"/>
      <c r="K131" s="5" t="str">
        <f>IFERROR(Tabla347[[#This Row],[USD]]/$B$1,"")</f>
        <v/>
      </c>
    </row>
    <row r="132" spans="4:11" ht="15.75" x14ac:dyDescent="0.25">
      <c r="D132" s="2">
        <v>131</v>
      </c>
      <c r="E132" s="6"/>
      <c r="F132" s="2"/>
      <c r="G132" s="2"/>
      <c r="H132" s="2"/>
      <c r="I132" s="2" t="str">
        <f t="shared" si="2"/>
        <v/>
      </c>
      <c r="J132" s="3"/>
      <c r="K132" s="5" t="str">
        <f>IFERROR(Tabla347[[#This Row],[USD]]/$B$1,"")</f>
        <v/>
      </c>
    </row>
    <row r="133" spans="4:11" ht="15.75" x14ac:dyDescent="0.25">
      <c r="D133" s="2">
        <v>132</v>
      </c>
      <c r="E133" s="6"/>
      <c r="F133" s="2"/>
      <c r="G133" s="2"/>
      <c r="H133" s="2"/>
      <c r="I133" s="2" t="str">
        <f t="shared" si="2"/>
        <v/>
      </c>
      <c r="J133" s="3"/>
      <c r="K133" s="5" t="str">
        <f>IFERROR(Tabla347[[#This Row],[USD]]/$B$1,"")</f>
        <v/>
      </c>
    </row>
    <row r="134" spans="4:11" ht="15.75" x14ac:dyDescent="0.25">
      <c r="D134" s="2">
        <v>133</v>
      </c>
      <c r="E134" s="6"/>
      <c r="F134" s="2"/>
      <c r="G134" s="2"/>
      <c r="H134" s="2"/>
      <c r="I134" s="2" t="str">
        <f t="shared" si="2"/>
        <v/>
      </c>
      <c r="J134" s="3"/>
      <c r="K134" s="5" t="str">
        <f>IFERROR(Tabla347[[#This Row],[USD]]/$B$1,"")</f>
        <v/>
      </c>
    </row>
    <row r="135" spans="4:11" ht="15.75" x14ac:dyDescent="0.25">
      <c r="D135" s="2">
        <v>134</v>
      </c>
      <c r="E135" s="6"/>
      <c r="F135" s="2"/>
      <c r="G135" s="2"/>
      <c r="H135" s="2"/>
      <c r="I135" s="2" t="str">
        <f t="shared" si="2"/>
        <v/>
      </c>
      <c r="J135" s="3"/>
      <c r="K135" s="5" t="str">
        <f>IFERROR(Tabla347[[#This Row],[USD]]/$B$1,"")</f>
        <v/>
      </c>
    </row>
    <row r="136" spans="4:11" ht="15.75" x14ac:dyDescent="0.25">
      <c r="D136" s="2">
        <v>135</v>
      </c>
      <c r="E136" s="6"/>
      <c r="F136" s="2"/>
      <c r="G136" s="2"/>
      <c r="H136" s="2"/>
      <c r="I136" s="2" t="str">
        <f t="shared" si="2"/>
        <v/>
      </c>
      <c r="J136" s="3"/>
      <c r="K136" s="5" t="str">
        <f>IFERROR(Tabla347[[#This Row],[USD]]/$B$1,"")</f>
        <v/>
      </c>
    </row>
    <row r="137" spans="4:11" ht="15.75" x14ac:dyDescent="0.25">
      <c r="D137" s="2">
        <v>136</v>
      </c>
      <c r="E137" s="6"/>
      <c r="F137" s="2"/>
      <c r="G137" s="2"/>
      <c r="H137" s="2"/>
      <c r="I137" s="2" t="str">
        <f t="shared" si="2"/>
        <v/>
      </c>
      <c r="J137" s="3"/>
      <c r="K137" s="5" t="str">
        <f>IFERROR(Tabla347[[#This Row],[USD]]/$B$1,"")</f>
        <v/>
      </c>
    </row>
    <row r="138" spans="4:11" ht="15.75" x14ac:dyDescent="0.25">
      <c r="D138" s="2">
        <v>137</v>
      </c>
      <c r="E138" s="6"/>
      <c r="F138" s="2"/>
      <c r="G138" s="2"/>
      <c r="H138" s="2"/>
      <c r="I138" s="2" t="str">
        <f t="shared" si="2"/>
        <v/>
      </c>
      <c r="J138" s="3"/>
      <c r="K138" s="5" t="str">
        <f>IFERROR(Tabla347[[#This Row],[USD]]/$B$1,"")</f>
        <v/>
      </c>
    </row>
    <row r="139" spans="4:11" ht="15.75" x14ac:dyDescent="0.25">
      <c r="D139" s="2">
        <v>138</v>
      </c>
      <c r="E139" s="6"/>
      <c r="F139" s="2"/>
      <c r="G139" s="2"/>
      <c r="H139" s="2"/>
      <c r="I139" s="2" t="str">
        <f t="shared" si="2"/>
        <v/>
      </c>
      <c r="J139" s="3"/>
      <c r="K139" s="5" t="str">
        <f>IFERROR(Tabla347[[#This Row],[USD]]/$B$1,"")</f>
        <v/>
      </c>
    </row>
    <row r="140" spans="4:11" ht="15.75" x14ac:dyDescent="0.25">
      <c r="D140" s="2">
        <v>139</v>
      </c>
      <c r="E140" s="6"/>
      <c r="F140" s="2"/>
      <c r="G140" s="2"/>
      <c r="H140" s="2"/>
      <c r="I140" s="2" t="str">
        <f t="shared" si="2"/>
        <v/>
      </c>
      <c r="J140" s="3"/>
      <c r="K140" s="5" t="str">
        <f>IFERROR(Tabla347[[#This Row],[USD]]/$B$1,"")</f>
        <v/>
      </c>
    </row>
    <row r="141" spans="4:11" ht="15.75" x14ac:dyDescent="0.25">
      <c r="D141" s="2">
        <v>140</v>
      </c>
      <c r="E141" s="6"/>
      <c r="F141" s="2"/>
      <c r="G141" s="2"/>
      <c r="H141" s="2"/>
      <c r="I141" s="2" t="str">
        <f t="shared" si="2"/>
        <v/>
      </c>
      <c r="J141" s="3"/>
      <c r="K141" s="5" t="str">
        <f>IFERROR(Tabla347[[#This Row],[USD]]/$B$1,"")</f>
        <v/>
      </c>
    </row>
    <row r="142" spans="4:11" ht="15.75" x14ac:dyDescent="0.25">
      <c r="D142" s="2">
        <v>141</v>
      </c>
      <c r="E142" s="6"/>
      <c r="F142" s="2"/>
      <c r="G142" s="2"/>
      <c r="H142" s="2"/>
      <c r="I142" s="2" t="str">
        <f t="shared" si="2"/>
        <v/>
      </c>
      <c r="J142" s="3"/>
      <c r="K142" s="5" t="str">
        <f>IFERROR(Tabla347[[#This Row],[USD]]/$B$1,"")</f>
        <v/>
      </c>
    </row>
    <row r="143" spans="4:11" ht="15.75" x14ac:dyDescent="0.25">
      <c r="D143" s="2">
        <v>142</v>
      </c>
      <c r="E143" s="6"/>
      <c r="F143" s="2"/>
      <c r="G143" s="2"/>
      <c r="H143" s="2"/>
      <c r="I143" s="2" t="str">
        <f t="shared" si="2"/>
        <v/>
      </c>
      <c r="J143" s="3"/>
      <c r="K143" s="5" t="str">
        <f>IFERROR(Tabla347[[#This Row],[USD]]/$B$1,"")</f>
        <v/>
      </c>
    </row>
    <row r="144" spans="4:11" ht="15.75" x14ac:dyDescent="0.25">
      <c r="D144" s="2">
        <v>143</v>
      </c>
      <c r="E144" s="6"/>
      <c r="F144" s="2"/>
      <c r="G144" s="2"/>
      <c r="H144" s="2"/>
      <c r="I144" s="2" t="str">
        <f t="shared" si="2"/>
        <v/>
      </c>
      <c r="J144" s="3"/>
      <c r="K144" s="5" t="str">
        <f>IFERROR(Tabla347[[#This Row],[USD]]/$B$1,"")</f>
        <v/>
      </c>
    </row>
    <row r="145" spans="4:11" ht="15.75" x14ac:dyDescent="0.25">
      <c r="D145" s="2">
        <v>144</v>
      </c>
      <c r="E145" s="6"/>
      <c r="F145" s="2"/>
      <c r="G145" s="2"/>
      <c r="H145" s="2"/>
      <c r="I145" s="2" t="str">
        <f t="shared" si="2"/>
        <v/>
      </c>
      <c r="J145" s="3"/>
      <c r="K145" s="5" t="str">
        <f>IFERROR(Tabla347[[#This Row],[USD]]/$B$1,"")</f>
        <v/>
      </c>
    </row>
    <row r="146" spans="4:11" ht="15.75" x14ac:dyDescent="0.25">
      <c r="D146" s="2">
        <v>145</v>
      </c>
      <c r="E146" s="6"/>
      <c r="F146" s="2"/>
      <c r="G146" s="2"/>
      <c r="H146" s="2"/>
      <c r="I146" s="2" t="str">
        <f t="shared" si="2"/>
        <v/>
      </c>
      <c r="J146" s="3"/>
      <c r="K146" s="5" t="str">
        <f>IFERROR(Tabla347[[#This Row],[USD]]/$B$1,"")</f>
        <v/>
      </c>
    </row>
    <row r="147" spans="4:11" ht="15.75" x14ac:dyDescent="0.25">
      <c r="D147" s="2">
        <v>146</v>
      </c>
      <c r="E147" s="6"/>
      <c r="F147" s="2"/>
      <c r="G147" s="2"/>
      <c r="H147" s="2"/>
      <c r="I147" s="2" t="str">
        <f t="shared" si="2"/>
        <v/>
      </c>
      <c r="J147" s="3"/>
      <c r="K147" s="5" t="str">
        <f>IFERROR(Tabla347[[#This Row],[USD]]/$B$1,"")</f>
        <v/>
      </c>
    </row>
    <row r="148" spans="4:11" ht="15.75" x14ac:dyDescent="0.25">
      <c r="D148" s="2">
        <v>147</v>
      </c>
      <c r="E148" s="6"/>
      <c r="F148" s="2"/>
      <c r="G148" s="2"/>
      <c r="H148" s="2"/>
      <c r="I148" s="2" t="str">
        <f t="shared" si="2"/>
        <v/>
      </c>
      <c r="J148" s="3"/>
      <c r="K148" s="5" t="str">
        <f>IFERROR(Tabla347[[#This Row],[USD]]/$B$1,"")</f>
        <v/>
      </c>
    </row>
    <row r="149" spans="4:11" ht="15.75" x14ac:dyDescent="0.25">
      <c r="D149" s="2">
        <v>148</v>
      </c>
      <c r="E149" s="6"/>
      <c r="F149" s="2"/>
      <c r="G149" s="2"/>
      <c r="H149" s="2"/>
      <c r="I149" s="2" t="str">
        <f t="shared" si="2"/>
        <v/>
      </c>
      <c r="J149" s="3"/>
      <c r="K149" s="5" t="str">
        <f>IFERROR(Tabla347[[#This Row],[USD]]/$B$1,"")</f>
        <v/>
      </c>
    </row>
    <row r="150" spans="4:11" ht="15.75" x14ac:dyDescent="0.25">
      <c r="D150" s="2">
        <v>149</v>
      </c>
      <c r="E150" s="6"/>
      <c r="F150" s="2"/>
      <c r="G150" s="2"/>
      <c r="H150" s="2"/>
      <c r="I150" s="2" t="str">
        <f t="shared" si="2"/>
        <v/>
      </c>
      <c r="J150" s="3"/>
      <c r="K150" s="5" t="str">
        <f>IFERROR(Tabla347[[#This Row],[USD]]/$B$1,"")</f>
        <v/>
      </c>
    </row>
    <row r="151" spans="4:11" ht="15.75" x14ac:dyDescent="0.25">
      <c r="D151" s="2">
        <v>150</v>
      </c>
      <c r="E151" s="6"/>
      <c r="F151" s="2"/>
      <c r="G151" s="2"/>
      <c r="H151" s="2"/>
      <c r="I151" s="2" t="str">
        <f t="shared" si="2"/>
        <v/>
      </c>
      <c r="J151" s="3"/>
      <c r="K151" s="5" t="str">
        <f>IFERROR(Tabla347[[#This Row],[USD]]/$B$1,"")</f>
        <v/>
      </c>
    </row>
    <row r="152" spans="4:11" ht="15.75" x14ac:dyDescent="0.25">
      <c r="D152" s="2">
        <v>151</v>
      </c>
      <c r="E152" s="6"/>
      <c r="F152" s="2"/>
      <c r="G152" s="2"/>
      <c r="H152" s="2"/>
      <c r="I152" s="2" t="str">
        <f t="shared" si="2"/>
        <v/>
      </c>
      <c r="J152" s="3"/>
      <c r="K152" s="5" t="str">
        <f>IFERROR(Tabla347[[#This Row],[USD]]/$B$1,"")</f>
        <v/>
      </c>
    </row>
    <row r="153" spans="4:11" ht="15.75" x14ac:dyDescent="0.25">
      <c r="D153" s="2">
        <v>152</v>
      </c>
      <c r="E153" s="6"/>
      <c r="F153" s="2"/>
      <c r="G153" s="2"/>
      <c r="H153" s="2"/>
      <c r="I153" s="2" t="str">
        <f t="shared" si="2"/>
        <v/>
      </c>
      <c r="J153" s="3"/>
      <c r="K153" s="5" t="str">
        <f>IFERROR(Tabla347[[#This Row],[USD]]/$B$1,"")</f>
        <v/>
      </c>
    </row>
    <row r="154" spans="4:11" ht="15.75" x14ac:dyDescent="0.25">
      <c r="D154" s="2">
        <v>153</v>
      </c>
      <c r="E154" s="6"/>
      <c r="F154" s="2"/>
      <c r="G154" s="2"/>
      <c r="H154" s="2"/>
      <c r="I154" s="2" t="str">
        <f t="shared" si="2"/>
        <v/>
      </c>
      <c r="J154" s="3"/>
      <c r="K154" s="5" t="str">
        <f>IFERROR(Tabla347[[#This Row],[USD]]/$B$1,"")</f>
        <v/>
      </c>
    </row>
    <row r="155" spans="4:11" ht="15.75" x14ac:dyDescent="0.25">
      <c r="D155" s="2">
        <v>154</v>
      </c>
      <c r="E155" s="6"/>
      <c r="F155" s="2"/>
      <c r="G155" s="2"/>
      <c r="H155" s="2"/>
      <c r="I155" s="2" t="str">
        <f t="shared" si="2"/>
        <v/>
      </c>
      <c r="J155" s="3"/>
      <c r="K155" s="5" t="str">
        <f>IFERROR(Tabla347[[#This Row],[USD]]/$B$1,"")</f>
        <v/>
      </c>
    </row>
    <row r="156" spans="4:11" ht="15.75" x14ac:dyDescent="0.25">
      <c r="D156" s="2">
        <v>155</v>
      </c>
      <c r="E156" s="6"/>
      <c r="F156" s="2"/>
      <c r="G156" s="2"/>
      <c r="H156" s="2"/>
      <c r="I156" s="2" t="str">
        <f t="shared" si="2"/>
        <v/>
      </c>
      <c r="J156" s="3"/>
      <c r="K156" s="5" t="str">
        <f>IFERROR(Tabla347[[#This Row],[USD]]/$B$1,"")</f>
        <v/>
      </c>
    </row>
    <row r="157" spans="4:11" ht="15.75" x14ac:dyDescent="0.25">
      <c r="D157" s="2">
        <v>156</v>
      </c>
      <c r="E157" s="6"/>
      <c r="F157" s="2"/>
      <c r="G157" s="2"/>
      <c r="H157" s="2"/>
      <c r="I157" s="2" t="str">
        <f t="shared" si="2"/>
        <v/>
      </c>
      <c r="J157" s="3"/>
      <c r="K157" s="5" t="str">
        <f>IFERROR(Tabla347[[#This Row],[USD]]/$B$1,"")</f>
        <v/>
      </c>
    </row>
    <row r="158" spans="4:11" ht="15.75" x14ac:dyDescent="0.25">
      <c r="D158" s="2">
        <v>157</v>
      </c>
      <c r="E158" s="6"/>
      <c r="F158" s="2"/>
      <c r="G158" s="2"/>
      <c r="H158" s="2"/>
      <c r="I158" s="2" t="str">
        <f t="shared" si="2"/>
        <v/>
      </c>
      <c r="J158" s="3"/>
      <c r="K158" s="5" t="str">
        <f>IFERROR(Tabla347[[#This Row],[USD]]/$B$1,"")</f>
        <v/>
      </c>
    </row>
    <row r="159" spans="4:11" ht="15.75" x14ac:dyDescent="0.25">
      <c r="D159" s="2">
        <v>158</v>
      </c>
      <c r="E159" s="6"/>
      <c r="F159" s="2"/>
      <c r="G159" s="2"/>
      <c r="H159" s="2"/>
      <c r="I159" s="2" t="str">
        <f t="shared" si="2"/>
        <v/>
      </c>
      <c r="J159" s="3"/>
      <c r="K159" s="5" t="str">
        <f>IFERROR(Tabla347[[#This Row],[USD]]/$B$1,"")</f>
        <v/>
      </c>
    </row>
    <row r="160" spans="4:11" ht="15.75" x14ac:dyDescent="0.25">
      <c r="D160" s="2">
        <v>159</v>
      </c>
      <c r="E160" s="6"/>
      <c r="F160" s="2"/>
      <c r="G160" s="2"/>
      <c r="H160" s="2"/>
      <c r="I160" s="2" t="str">
        <f t="shared" si="2"/>
        <v/>
      </c>
      <c r="J160" s="3"/>
      <c r="K160" s="5" t="str">
        <f>IFERROR(Tabla347[[#This Row],[USD]]/$B$1,"")</f>
        <v/>
      </c>
    </row>
    <row r="161" spans="4:11" ht="15.75" x14ac:dyDescent="0.25">
      <c r="D161" s="2">
        <v>160</v>
      </c>
      <c r="E161" s="6"/>
      <c r="F161" s="2"/>
      <c r="G161" s="2"/>
      <c r="H161" s="2"/>
      <c r="I161" s="2" t="str">
        <f t="shared" si="2"/>
        <v/>
      </c>
      <c r="J161" s="3"/>
      <c r="K161" s="5" t="str">
        <f>IFERROR(Tabla347[[#This Row],[USD]]/$B$1,"")</f>
        <v/>
      </c>
    </row>
    <row r="162" spans="4:11" ht="15.75" x14ac:dyDescent="0.25">
      <c r="D162" s="2">
        <v>161</v>
      </c>
      <c r="E162" s="6"/>
      <c r="F162" s="2"/>
      <c r="G162" s="2"/>
      <c r="H162" s="2"/>
      <c r="I162" s="2" t="str">
        <f t="shared" si="2"/>
        <v/>
      </c>
      <c r="J162" s="3"/>
      <c r="K162" s="5" t="str">
        <f>IFERROR(Tabla347[[#This Row],[USD]]/$B$1,"")</f>
        <v/>
      </c>
    </row>
    <row r="163" spans="4:11" ht="15.75" x14ac:dyDescent="0.25">
      <c r="D163" s="2">
        <v>162</v>
      </c>
      <c r="E163" s="6"/>
      <c r="F163" s="2"/>
      <c r="G163" s="2"/>
      <c r="H163" s="2"/>
      <c r="I163" s="2" t="str">
        <f t="shared" si="2"/>
        <v/>
      </c>
      <c r="J163" s="3"/>
      <c r="K163" s="5" t="str">
        <f>IFERROR(Tabla347[[#This Row],[USD]]/$B$1,"")</f>
        <v/>
      </c>
    </row>
    <row r="164" spans="4:11" ht="15.75" x14ac:dyDescent="0.25">
      <c r="D164" s="2">
        <v>163</v>
      </c>
      <c r="E164" s="6"/>
      <c r="F164" s="2"/>
      <c r="G164" s="2"/>
      <c r="H164" s="2"/>
      <c r="I164" s="2" t="str">
        <f t="shared" si="2"/>
        <v/>
      </c>
      <c r="J164" s="3"/>
      <c r="K164" s="5" t="str">
        <f>IFERROR(Tabla347[[#This Row],[USD]]/$B$1,"")</f>
        <v/>
      </c>
    </row>
    <row r="165" spans="4:11" ht="15.75" x14ac:dyDescent="0.25">
      <c r="D165" s="2">
        <v>164</v>
      </c>
      <c r="E165" s="6"/>
      <c r="F165" s="2"/>
      <c r="G165" s="2"/>
      <c r="H165" s="2"/>
      <c r="I165" s="2" t="str">
        <f t="shared" si="2"/>
        <v/>
      </c>
      <c r="J165" s="3"/>
      <c r="K165" s="5" t="str">
        <f>IFERROR(Tabla347[[#This Row],[USD]]/$B$1,"")</f>
        <v/>
      </c>
    </row>
    <row r="166" spans="4:11" ht="15.75" x14ac:dyDescent="0.25">
      <c r="D166" s="2">
        <v>165</v>
      </c>
      <c r="E166" s="6"/>
      <c r="F166" s="2"/>
      <c r="G166" s="2"/>
      <c r="H166" s="2"/>
      <c r="I166" s="2" t="str">
        <f t="shared" si="2"/>
        <v/>
      </c>
      <c r="J166" s="3"/>
      <c r="K166" s="5" t="str">
        <f>IFERROR(Tabla347[[#This Row],[USD]]/$B$1,"")</f>
        <v/>
      </c>
    </row>
    <row r="167" spans="4:11" ht="15.75" x14ac:dyDescent="0.25">
      <c r="D167" s="2">
        <v>166</v>
      </c>
      <c r="E167" s="6"/>
      <c r="F167" s="2"/>
      <c r="G167" s="2"/>
      <c r="H167" s="2"/>
      <c r="I167" s="2" t="str">
        <f t="shared" si="2"/>
        <v/>
      </c>
      <c r="J167" s="3"/>
      <c r="K167" s="5" t="str">
        <f>IFERROR(Tabla347[[#This Row],[USD]]/$B$1,"")</f>
        <v/>
      </c>
    </row>
    <row r="168" spans="4:11" ht="15.75" x14ac:dyDescent="0.25">
      <c r="D168" s="2">
        <v>167</v>
      </c>
      <c r="E168" s="6"/>
      <c r="F168" s="2"/>
      <c r="G168" s="2"/>
      <c r="H168" s="2"/>
      <c r="I168" s="2" t="str">
        <f t="shared" si="2"/>
        <v/>
      </c>
      <c r="J168" s="3"/>
      <c r="K168" s="5" t="str">
        <f>IFERROR(Tabla347[[#This Row],[USD]]/$B$1,"")</f>
        <v/>
      </c>
    </row>
    <row r="169" spans="4:11" ht="15.75" x14ac:dyDescent="0.25">
      <c r="D169" s="2">
        <v>168</v>
      </c>
      <c r="E169" s="6"/>
      <c r="F169" s="2"/>
      <c r="G169" s="2"/>
      <c r="H169" s="2"/>
      <c r="I169" s="2" t="str">
        <f t="shared" si="2"/>
        <v/>
      </c>
      <c r="J169" s="3"/>
      <c r="K169" s="5" t="str">
        <f>IFERROR(Tabla347[[#This Row],[USD]]/$B$1,"")</f>
        <v/>
      </c>
    </row>
    <row r="170" spans="4:11" ht="15.75" x14ac:dyDescent="0.25">
      <c r="D170" s="2">
        <v>169</v>
      </c>
      <c r="E170" s="6"/>
      <c r="F170" s="2"/>
      <c r="G170" s="2"/>
      <c r="H170" s="2"/>
      <c r="I170" s="2" t="str">
        <f t="shared" si="2"/>
        <v/>
      </c>
      <c r="J170" s="3"/>
      <c r="K170" s="5" t="str">
        <f>IFERROR(Tabla347[[#This Row],[USD]]/$B$1,"")</f>
        <v/>
      </c>
    </row>
    <row r="171" spans="4:11" ht="15.75" x14ac:dyDescent="0.25">
      <c r="D171" s="2">
        <v>170</v>
      </c>
      <c r="E171" s="6"/>
      <c r="F171" s="2"/>
      <c r="G171" s="2"/>
      <c r="H171" s="2"/>
      <c r="I171" s="2" t="str">
        <f t="shared" si="2"/>
        <v/>
      </c>
      <c r="J171" s="3"/>
      <c r="K171" s="5" t="str">
        <f>IFERROR(Tabla347[[#This Row],[USD]]/$B$1,"")</f>
        <v/>
      </c>
    </row>
    <row r="172" spans="4:11" ht="15.75" x14ac:dyDescent="0.25">
      <c r="D172" s="2">
        <v>171</v>
      </c>
      <c r="E172" s="6"/>
      <c r="F172" s="2"/>
      <c r="G172" s="2"/>
      <c r="H172" s="2"/>
      <c r="I172" s="2" t="str">
        <f t="shared" si="2"/>
        <v/>
      </c>
      <c r="J172" s="3"/>
      <c r="K172" s="5" t="str">
        <f>IFERROR(Tabla347[[#This Row],[USD]]/$B$1,"")</f>
        <v/>
      </c>
    </row>
    <row r="173" spans="4:11" ht="15.75" x14ac:dyDescent="0.25">
      <c r="D173" s="2">
        <v>172</v>
      </c>
      <c r="E173" s="6"/>
      <c r="F173" s="2"/>
      <c r="G173" s="2"/>
      <c r="H173" s="2"/>
      <c r="I173" s="2" t="str">
        <f t="shared" si="2"/>
        <v/>
      </c>
      <c r="J173" s="3"/>
      <c r="K173" s="5" t="str">
        <f>IFERROR(Tabla347[[#This Row],[USD]]/$B$1,"")</f>
        <v/>
      </c>
    </row>
    <row r="174" spans="4:11" ht="15.75" x14ac:dyDescent="0.25">
      <c r="D174" s="2">
        <v>173</v>
      </c>
      <c r="E174" s="6"/>
      <c r="F174" s="2"/>
      <c r="G174" s="2"/>
      <c r="H174" s="2"/>
      <c r="I174" s="2" t="str">
        <f t="shared" si="2"/>
        <v/>
      </c>
      <c r="J174" s="3"/>
      <c r="K174" s="5" t="str">
        <f>IFERROR(Tabla347[[#This Row],[USD]]/$B$1,"")</f>
        <v/>
      </c>
    </row>
    <row r="175" spans="4:11" ht="15.75" x14ac:dyDescent="0.25">
      <c r="D175" s="2">
        <v>174</v>
      </c>
      <c r="E175" s="6"/>
      <c r="F175" s="2"/>
      <c r="G175" s="2"/>
      <c r="H175" s="2"/>
      <c r="I175" s="2" t="str">
        <f t="shared" si="2"/>
        <v/>
      </c>
      <c r="J175" s="3"/>
      <c r="K175" s="5" t="str">
        <f>IFERROR(Tabla347[[#This Row],[USD]]/$B$1,"")</f>
        <v/>
      </c>
    </row>
    <row r="176" spans="4:11" ht="15.75" x14ac:dyDescent="0.25">
      <c r="D176" s="2">
        <v>175</v>
      </c>
      <c r="E176" s="6"/>
      <c r="F176" s="2"/>
      <c r="G176" s="2"/>
      <c r="H176" s="2"/>
      <c r="I176" s="2" t="str">
        <f t="shared" si="2"/>
        <v/>
      </c>
      <c r="J176" s="3"/>
      <c r="K176" s="5" t="str">
        <f>IFERROR(Tabla347[[#This Row],[USD]]/$B$1,"")</f>
        <v/>
      </c>
    </row>
    <row r="177" spans="4:11" ht="15.75" x14ac:dyDescent="0.25">
      <c r="D177" s="2">
        <v>176</v>
      </c>
      <c r="E177" s="6"/>
      <c r="F177" s="2"/>
      <c r="G177" s="2"/>
      <c r="H177" s="2"/>
      <c r="I177" s="2" t="str">
        <f t="shared" si="2"/>
        <v/>
      </c>
      <c r="J177" s="3"/>
      <c r="K177" s="5" t="str">
        <f>IFERROR(Tabla347[[#This Row],[USD]]/$B$1,"")</f>
        <v/>
      </c>
    </row>
    <row r="178" spans="4:11" ht="15.75" x14ac:dyDescent="0.25">
      <c r="D178" s="2">
        <v>177</v>
      </c>
      <c r="E178" s="6"/>
      <c r="F178" s="2"/>
      <c r="G178" s="2"/>
      <c r="H178" s="2"/>
      <c r="I178" s="2" t="str">
        <f t="shared" si="2"/>
        <v/>
      </c>
      <c r="J178" s="3"/>
      <c r="K178" s="5" t="str">
        <f>IFERROR(Tabla347[[#This Row],[USD]]/$B$1,"")</f>
        <v/>
      </c>
    </row>
    <row r="179" spans="4:11" ht="15.75" x14ac:dyDescent="0.25">
      <c r="D179" s="2">
        <v>178</v>
      </c>
      <c r="E179" s="6"/>
      <c r="F179" s="2"/>
      <c r="G179" s="2"/>
      <c r="H179" s="2"/>
      <c r="I179" s="2" t="str">
        <f t="shared" si="2"/>
        <v/>
      </c>
      <c r="J179" s="3"/>
      <c r="K179" s="5" t="str">
        <f>IFERROR(Tabla347[[#This Row],[USD]]/$B$1,"")</f>
        <v/>
      </c>
    </row>
    <row r="180" spans="4:11" ht="15.75" x14ac:dyDescent="0.25">
      <c r="D180" s="2">
        <v>179</v>
      </c>
      <c r="E180" s="6"/>
      <c r="F180" s="2"/>
      <c r="G180" s="2"/>
      <c r="H180" s="2"/>
      <c r="I180" s="2" t="str">
        <f t="shared" si="2"/>
        <v/>
      </c>
      <c r="J180" s="3"/>
      <c r="K180" s="5" t="str">
        <f>IFERROR(Tabla347[[#This Row],[USD]]/$B$1,"")</f>
        <v/>
      </c>
    </row>
    <row r="181" spans="4:11" ht="15.75" x14ac:dyDescent="0.25">
      <c r="D181" s="2">
        <v>180</v>
      </c>
      <c r="E181" s="6"/>
      <c r="F181" s="2"/>
      <c r="G181" s="2"/>
      <c r="H181" s="2"/>
      <c r="I181" s="2" t="str">
        <f t="shared" si="2"/>
        <v/>
      </c>
      <c r="J181" s="3"/>
      <c r="K181" s="5" t="str">
        <f>IFERROR(Tabla347[[#This Row],[USD]]/$B$1,"")</f>
        <v/>
      </c>
    </row>
    <row r="182" spans="4:11" ht="15.75" x14ac:dyDescent="0.25">
      <c r="D182" s="2">
        <v>181</v>
      </c>
      <c r="E182" s="6"/>
      <c r="F182" s="2"/>
      <c r="G182" s="2"/>
      <c r="H182" s="2"/>
      <c r="I182" s="2" t="str">
        <f t="shared" si="2"/>
        <v/>
      </c>
      <c r="J182" s="3"/>
      <c r="K182" s="5" t="str">
        <f>IFERROR(Tabla347[[#This Row],[USD]]/$B$1,"")</f>
        <v/>
      </c>
    </row>
    <row r="183" spans="4:11" ht="15.75" x14ac:dyDescent="0.25">
      <c r="D183" s="2">
        <v>182</v>
      </c>
      <c r="E183" s="6"/>
      <c r="F183" s="2"/>
      <c r="G183" s="2"/>
      <c r="H183" s="2"/>
      <c r="I183" s="2" t="str">
        <f t="shared" si="2"/>
        <v/>
      </c>
      <c r="J183" s="3"/>
      <c r="K183" s="5" t="str">
        <f>IFERROR(Tabla347[[#This Row],[USD]]/$B$1,"")</f>
        <v/>
      </c>
    </row>
    <row r="184" spans="4:11" ht="15.75" x14ac:dyDescent="0.25">
      <c r="D184" s="2">
        <v>183</v>
      </c>
      <c r="E184" s="6"/>
      <c r="F184" s="2"/>
      <c r="G184" s="2"/>
      <c r="H184" s="2"/>
      <c r="I184" s="2" t="str">
        <f t="shared" si="2"/>
        <v/>
      </c>
      <c r="J184" s="3"/>
      <c r="K184" s="5" t="str">
        <f>IFERROR(Tabla347[[#This Row],[USD]]/$B$1,"")</f>
        <v/>
      </c>
    </row>
    <row r="185" spans="4:11" ht="15.75" x14ac:dyDescent="0.25">
      <c r="D185" s="2">
        <v>184</v>
      </c>
      <c r="E185" s="6"/>
      <c r="F185" s="2"/>
      <c r="G185" s="2"/>
      <c r="H185" s="2"/>
      <c r="I185" s="2" t="str">
        <f t="shared" si="2"/>
        <v/>
      </c>
      <c r="J185" s="3"/>
      <c r="K185" s="5" t="str">
        <f>IFERROR(Tabla347[[#This Row],[USD]]/$B$1,"")</f>
        <v/>
      </c>
    </row>
    <row r="186" spans="4:11" ht="15.75" x14ac:dyDescent="0.25">
      <c r="D186" s="2">
        <v>185</v>
      </c>
      <c r="E186" s="6"/>
      <c r="F186" s="2"/>
      <c r="G186" s="2"/>
      <c r="H186" s="2"/>
      <c r="I186" s="2" t="str">
        <f t="shared" si="2"/>
        <v/>
      </c>
      <c r="J186" s="3"/>
      <c r="K186" s="5" t="str">
        <f>IFERROR(Tabla347[[#This Row],[USD]]/$B$1,"")</f>
        <v/>
      </c>
    </row>
    <row r="187" spans="4:11" ht="15.75" x14ac:dyDescent="0.25">
      <c r="D187" s="2">
        <v>186</v>
      </c>
      <c r="E187" s="6"/>
      <c r="F187" s="2"/>
      <c r="G187" s="2"/>
      <c r="H187" s="2"/>
      <c r="I187" s="2" t="str">
        <f t="shared" si="2"/>
        <v/>
      </c>
      <c r="J187" s="3"/>
      <c r="K187" s="5" t="str">
        <f>IFERROR(Tabla347[[#This Row],[USD]]/$B$1,"")</f>
        <v/>
      </c>
    </row>
    <row r="188" spans="4:11" ht="15.75" x14ac:dyDescent="0.25">
      <c r="D188" s="2">
        <v>187</v>
      </c>
      <c r="E188" s="6"/>
      <c r="F188" s="2"/>
      <c r="G188" s="2"/>
      <c r="H188" s="2"/>
      <c r="I188" s="2" t="str">
        <f t="shared" si="2"/>
        <v/>
      </c>
      <c r="J188" s="3"/>
      <c r="K188" s="5" t="str">
        <f>IFERROR(Tabla347[[#This Row],[USD]]/$B$1,"")</f>
        <v/>
      </c>
    </row>
    <row r="189" spans="4:11" ht="15.75" x14ac:dyDescent="0.25">
      <c r="D189" s="2">
        <v>188</v>
      </c>
      <c r="E189" s="6"/>
      <c r="F189" s="2"/>
      <c r="G189" s="2"/>
      <c r="H189" s="2"/>
      <c r="I189" s="2" t="str">
        <f t="shared" si="2"/>
        <v/>
      </c>
      <c r="J189" s="3"/>
      <c r="K189" s="5" t="str">
        <f>IFERROR(Tabla347[[#This Row],[USD]]/$B$1,"")</f>
        <v/>
      </c>
    </row>
    <row r="190" spans="4:11" ht="15.75" x14ac:dyDescent="0.25">
      <c r="D190" s="2">
        <v>189</v>
      </c>
      <c r="E190" s="6"/>
      <c r="F190" s="2"/>
      <c r="G190" s="2"/>
      <c r="H190" s="2"/>
      <c r="I190" s="2" t="str">
        <f t="shared" si="2"/>
        <v/>
      </c>
      <c r="J190" s="3"/>
      <c r="K190" s="5" t="str">
        <f>IFERROR(Tabla347[[#This Row],[USD]]/$B$1,"")</f>
        <v/>
      </c>
    </row>
    <row r="191" spans="4:11" ht="15.75" x14ac:dyDescent="0.25">
      <c r="D191" s="2">
        <v>190</v>
      </c>
      <c r="E191" s="6"/>
      <c r="F191" s="2"/>
      <c r="G191" s="2"/>
      <c r="H191" s="2"/>
      <c r="I191" s="2" t="str">
        <f t="shared" si="2"/>
        <v/>
      </c>
      <c r="J191" s="3"/>
      <c r="K191" s="5" t="str">
        <f>IFERROR(Tabla347[[#This Row],[USD]]/$B$1,"")</f>
        <v/>
      </c>
    </row>
    <row r="192" spans="4:11" ht="15.75" x14ac:dyDescent="0.25">
      <c r="D192" s="2">
        <v>191</v>
      </c>
      <c r="E192" s="6"/>
      <c r="F192" s="2"/>
      <c r="G192" s="2"/>
      <c r="H192" s="2"/>
      <c r="I192" s="2" t="str">
        <f t="shared" si="2"/>
        <v/>
      </c>
      <c r="J192" s="3"/>
      <c r="K192" s="5" t="str">
        <f>IFERROR(Tabla347[[#This Row],[USD]]/$B$1,"")</f>
        <v/>
      </c>
    </row>
    <row r="193" spans="4:11" ht="15.75" x14ac:dyDescent="0.25">
      <c r="D193" s="2">
        <v>192</v>
      </c>
      <c r="E193" s="6"/>
      <c r="F193" s="2"/>
      <c r="G193" s="2"/>
      <c r="H193" s="2"/>
      <c r="I193" s="2" t="str">
        <f t="shared" si="2"/>
        <v/>
      </c>
      <c r="J193" s="3"/>
      <c r="K193" s="5" t="str">
        <f>IFERROR(Tabla347[[#This Row],[USD]]/$B$1,"")</f>
        <v/>
      </c>
    </row>
    <row r="194" spans="4:11" ht="15.75" x14ac:dyDescent="0.25">
      <c r="D194" s="2">
        <v>193</v>
      </c>
      <c r="E194" s="6"/>
      <c r="F194" s="2"/>
      <c r="G194" s="2"/>
      <c r="H194" s="2"/>
      <c r="I194" s="2" t="str">
        <f t="shared" si="2"/>
        <v/>
      </c>
      <c r="J194" s="3"/>
      <c r="K194" s="5" t="str">
        <f>IFERROR(Tabla347[[#This Row],[USD]]/$B$1,"")</f>
        <v/>
      </c>
    </row>
    <row r="195" spans="4:11" ht="15.75" x14ac:dyDescent="0.25">
      <c r="D195" s="2">
        <v>194</v>
      </c>
      <c r="E195" s="6"/>
      <c r="F195" s="2"/>
      <c r="G195" s="2"/>
      <c r="H195" s="2"/>
      <c r="I195" s="2" t="str">
        <f t="shared" ref="I195:I258" si="3">IF(J195="","",IF(J195&gt;3,"Ganado",IF(J195&lt;-3,"Perdido","Break Even")))</f>
        <v/>
      </c>
      <c r="J195" s="3"/>
      <c r="K195" s="5" t="str">
        <f>IFERROR(Tabla347[[#This Row],[USD]]/$B$1,"")</f>
        <v/>
      </c>
    </row>
    <row r="196" spans="4:11" ht="15.75" x14ac:dyDescent="0.25">
      <c r="D196" s="2">
        <v>195</v>
      </c>
      <c r="E196" s="6"/>
      <c r="F196" s="2"/>
      <c r="G196" s="2"/>
      <c r="H196" s="2"/>
      <c r="I196" s="2" t="str">
        <f t="shared" si="3"/>
        <v/>
      </c>
      <c r="J196" s="3"/>
      <c r="K196" s="5" t="str">
        <f>IFERROR(Tabla347[[#This Row],[USD]]/$B$1,"")</f>
        <v/>
      </c>
    </row>
    <row r="197" spans="4:11" ht="15.75" x14ac:dyDescent="0.25">
      <c r="D197" s="2">
        <v>196</v>
      </c>
      <c r="E197" s="6"/>
      <c r="F197" s="2"/>
      <c r="G197" s="2"/>
      <c r="H197" s="2"/>
      <c r="I197" s="2" t="str">
        <f t="shared" si="3"/>
        <v/>
      </c>
      <c r="J197" s="3"/>
      <c r="K197" s="5" t="str">
        <f>IFERROR(Tabla347[[#This Row],[USD]]/$B$1,"")</f>
        <v/>
      </c>
    </row>
    <row r="198" spans="4:11" ht="15.75" x14ac:dyDescent="0.25">
      <c r="D198" s="2">
        <v>197</v>
      </c>
      <c r="E198" s="6"/>
      <c r="F198" s="2"/>
      <c r="G198" s="2"/>
      <c r="H198" s="2"/>
      <c r="I198" s="2" t="str">
        <f t="shared" si="3"/>
        <v/>
      </c>
      <c r="J198" s="3"/>
      <c r="K198" s="5" t="str">
        <f>IFERROR(Tabla347[[#This Row],[USD]]/$B$1,"")</f>
        <v/>
      </c>
    </row>
    <row r="199" spans="4:11" ht="15.75" x14ac:dyDescent="0.25">
      <c r="D199" s="2">
        <v>198</v>
      </c>
      <c r="E199" s="6"/>
      <c r="F199" s="2"/>
      <c r="G199" s="2"/>
      <c r="H199" s="2"/>
      <c r="I199" s="2" t="str">
        <f t="shared" si="3"/>
        <v/>
      </c>
      <c r="J199" s="3"/>
      <c r="K199" s="5" t="str">
        <f>IFERROR(Tabla347[[#This Row],[USD]]/$B$1,"")</f>
        <v/>
      </c>
    </row>
    <row r="200" spans="4:11" ht="15.75" x14ac:dyDescent="0.25">
      <c r="D200" s="2">
        <v>199</v>
      </c>
      <c r="E200" s="6"/>
      <c r="F200" s="2"/>
      <c r="G200" s="2"/>
      <c r="H200" s="2"/>
      <c r="I200" s="2" t="str">
        <f t="shared" si="3"/>
        <v/>
      </c>
      <c r="J200" s="3"/>
      <c r="K200" s="5" t="str">
        <f>IFERROR(Tabla347[[#This Row],[USD]]/$B$1,"")</f>
        <v/>
      </c>
    </row>
    <row r="201" spans="4:11" ht="15.75" x14ac:dyDescent="0.25">
      <c r="D201" s="2">
        <v>200</v>
      </c>
      <c r="E201" s="6"/>
      <c r="F201" s="2"/>
      <c r="G201" s="2"/>
      <c r="H201" s="2"/>
      <c r="I201" s="2" t="str">
        <f t="shared" si="3"/>
        <v/>
      </c>
      <c r="J201" s="3"/>
      <c r="K201" s="5" t="str">
        <f>IFERROR(Tabla347[[#This Row],[USD]]/$B$1,"")</f>
        <v/>
      </c>
    </row>
    <row r="202" spans="4:11" ht="15.75" x14ac:dyDescent="0.25">
      <c r="D202" s="2">
        <v>201</v>
      </c>
      <c r="E202" s="6"/>
      <c r="F202" s="2"/>
      <c r="G202" s="2"/>
      <c r="H202" s="2"/>
      <c r="I202" s="2" t="str">
        <f t="shared" si="3"/>
        <v/>
      </c>
      <c r="J202" s="3"/>
      <c r="K202" s="5" t="str">
        <f>IFERROR(Tabla347[[#This Row],[USD]]/$B$1,"")</f>
        <v/>
      </c>
    </row>
    <row r="203" spans="4:11" ht="15.75" x14ac:dyDescent="0.25">
      <c r="D203" s="2">
        <v>202</v>
      </c>
      <c r="E203" s="6"/>
      <c r="F203" s="2"/>
      <c r="G203" s="2"/>
      <c r="H203" s="2"/>
      <c r="I203" s="2" t="str">
        <f t="shared" si="3"/>
        <v/>
      </c>
      <c r="J203" s="3"/>
      <c r="K203" s="5" t="str">
        <f>IFERROR(Tabla347[[#This Row],[USD]]/$B$1,"")</f>
        <v/>
      </c>
    </row>
    <row r="204" spans="4:11" ht="15.75" x14ac:dyDescent="0.25">
      <c r="D204" s="2">
        <v>203</v>
      </c>
      <c r="E204" s="6"/>
      <c r="F204" s="2"/>
      <c r="G204" s="2"/>
      <c r="H204" s="2"/>
      <c r="I204" s="2" t="str">
        <f t="shared" si="3"/>
        <v/>
      </c>
      <c r="J204" s="3"/>
      <c r="K204" s="5" t="str">
        <f>IFERROR(Tabla347[[#This Row],[USD]]/$B$1,"")</f>
        <v/>
      </c>
    </row>
    <row r="205" spans="4:11" ht="15.75" x14ac:dyDescent="0.25">
      <c r="D205" s="2">
        <v>204</v>
      </c>
      <c r="E205" s="6"/>
      <c r="F205" s="2"/>
      <c r="G205" s="2"/>
      <c r="H205" s="2"/>
      <c r="I205" s="2" t="str">
        <f t="shared" si="3"/>
        <v/>
      </c>
      <c r="J205" s="3"/>
      <c r="K205" s="5" t="str">
        <f>IFERROR(Tabla347[[#This Row],[USD]]/$B$1,"")</f>
        <v/>
      </c>
    </row>
    <row r="206" spans="4:11" ht="15.75" x14ac:dyDescent="0.25">
      <c r="D206" s="2">
        <v>205</v>
      </c>
      <c r="E206" s="6"/>
      <c r="F206" s="2"/>
      <c r="G206" s="2"/>
      <c r="H206" s="2"/>
      <c r="I206" s="2" t="str">
        <f t="shared" si="3"/>
        <v/>
      </c>
      <c r="J206" s="3"/>
      <c r="K206" s="5" t="str">
        <f>IFERROR(Tabla347[[#This Row],[USD]]/$B$1,"")</f>
        <v/>
      </c>
    </row>
    <row r="207" spans="4:11" ht="15.75" x14ac:dyDescent="0.25">
      <c r="D207" s="2">
        <v>206</v>
      </c>
      <c r="E207" s="6"/>
      <c r="F207" s="2"/>
      <c r="G207" s="2"/>
      <c r="H207" s="2"/>
      <c r="I207" s="2" t="str">
        <f t="shared" si="3"/>
        <v/>
      </c>
      <c r="J207" s="3"/>
      <c r="K207" s="5" t="str">
        <f>IFERROR(Tabla347[[#This Row],[USD]]/$B$1,"")</f>
        <v/>
      </c>
    </row>
    <row r="208" spans="4:11" ht="15.75" x14ac:dyDescent="0.25">
      <c r="D208" s="2">
        <v>207</v>
      </c>
      <c r="E208" s="6"/>
      <c r="F208" s="2"/>
      <c r="G208" s="2"/>
      <c r="H208" s="2"/>
      <c r="I208" s="2" t="str">
        <f t="shared" si="3"/>
        <v/>
      </c>
      <c r="J208" s="3"/>
      <c r="K208" s="5" t="str">
        <f>IFERROR(Tabla347[[#This Row],[USD]]/$B$1,"")</f>
        <v/>
      </c>
    </row>
    <row r="209" spans="4:11" ht="15.75" x14ac:dyDescent="0.25">
      <c r="D209" s="2">
        <v>208</v>
      </c>
      <c r="E209" s="6"/>
      <c r="F209" s="2"/>
      <c r="G209" s="2"/>
      <c r="H209" s="2"/>
      <c r="I209" s="2" t="str">
        <f t="shared" si="3"/>
        <v/>
      </c>
      <c r="J209" s="3"/>
      <c r="K209" s="5" t="str">
        <f>IFERROR(Tabla347[[#This Row],[USD]]/$B$1,"")</f>
        <v/>
      </c>
    </row>
    <row r="210" spans="4:11" ht="15.75" x14ac:dyDescent="0.25">
      <c r="D210" s="2">
        <v>209</v>
      </c>
      <c r="E210" s="6"/>
      <c r="F210" s="2"/>
      <c r="G210" s="2"/>
      <c r="H210" s="2"/>
      <c r="I210" s="2" t="str">
        <f t="shared" si="3"/>
        <v/>
      </c>
      <c r="J210" s="3"/>
      <c r="K210" s="5" t="str">
        <f>IFERROR(Tabla347[[#This Row],[USD]]/$B$1,"")</f>
        <v/>
      </c>
    </row>
    <row r="211" spans="4:11" ht="15.75" x14ac:dyDescent="0.25">
      <c r="D211" s="2">
        <v>210</v>
      </c>
      <c r="E211" s="6"/>
      <c r="F211" s="2"/>
      <c r="G211" s="2"/>
      <c r="H211" s="2"/>
      <c r="I211" s="2" t="str">
        <f t="shared" si="3"/>
        <v/>
      </c>
      <c r="J211" s="3"/>
      <c r="K211" s="5" t="str">
        <f>IFERROR(Tabla347[[#This Row],[USD]]/$B$1,"")</f>
        <v/>
      </c>
    </row>
    <row r="212" spans="4:11" ht="15.75" x14ac:dyDescent="0.25">
      <c r="D212" s="2">
        <v>211</v>
      </c>
      <c r="E212" s="6"/>
      <c r="F212" s="2"/>
      <c r="G212" s="2"/>
      <c r="H212" s="2"/>
      <c r="I212" s="2" t="str">
        <f t="shared" si="3"/>
        <v/>
      </c>
      <c r="J212" s="3"/>
      <c r="K212" s="5" t="str">
        <f>IFERROR(Tabla347[[#This Row],[USD]]/$B$1,"")</f>
        <v/>
      </c>
    </row>
    <row r="213" spans="4:11" ht="15.75" x14ac:dyDescent="0.25">
      <c r="D213" s="2">
        <v>212</v>
      </c>
      <c r="E213" s="6"/>
      <c r="F213" s="2"/>
      <c r="G213" s="2"/>
      <c r="H213" s="2"/>
      <c r="I213" s="2" t="str">
        <f t="shared" si="3"/>
        <v/>
      </c>
      <c r="J213" s="3"/>
      <c r="K213" s="5" t="str">
        <f>IFERROR(Tabla347[[#This Row],[USD]]/$B$1,"")</f>
        <v/>
      </c>
    </row>
    <row r="214" spans="4:11" ht="15.75" x14ac:dyDescent="0.25">
      <c r="D214" s="2">
        <v>213</v>
      </c>
      <c r="E214" s="6"/>
      <c r="F214" s="2"/>
      <c r="G214" s="2"/>
      <c r="H214" s="2"/>
      <c r="I214" s="2" t="str">
        <f t="shared" si="3"/>
        <v/>
      </c>
      <c r="J214" s="3"/>
      <c r="K214" s="5" t="str">
        <f>IFERROR(Tabla347[[#This Row],[USD]]/$B$1,"")</f>
        <v/>
      </c>
    </row>
    <row r="215" spans="4:11" ht="15.75" x14ac:dyDescent="0.25">
      <c r="D215" s="2">
        <v>214</v>
      </c>
      <c r="E215" s="6"/>
      <c r="F215" s="2"/>
      <c r="G215" s="2"/>
      <c r="H215" s="2"/>
      <c r="I215" s="2" t="str">
        <f t="shared" si="3"/>
        <v/>
      </c>
      <c r="J215" s="3"/>
      <c r="K215" s="5" t="str">
        <f>IFERROR(Tabla347[[#This Row],[USD]]/$B$1,"")</f>
        <v/>
      </c>
    </row>
    <row r="216" spans="4:11" ht="15.75" x14ac:dyDescent="0.25">
      <c r="D216" s="2">
        <v>215</v>
      </c>
      <c r="E216" s="6"/>
      <c r="F216" s="2"/>
      <c r="G216" s="2"/>
      <c r="H216" s="2"/>
      <c r="I216" s="2" t="str">
        <f t="shared" si="3"/>
        <v/>
      </c>
      <c r="J216" s="3"/>
      <c r="K216" s="5" t="str">
        <f>IFERROR(Tabla347[[#This Row],[USD]]/$B$1,"")</f>
        <v/>
      </c>
    </row>
    <row r="217" spans="4:11" ht="15.75" x14ac:dyDescent="0.25">
      <c r="D217" s="2">
        <v>216</v>
      </c>
      <c r="E217" s="6"/>
      <c r="F217" s="2"/>
      <c r="G217" s="2"/>
      <c r="H217" s="2"/>
      <c r="I217" s="2" t="str">
        <f t="shared" si="3"/>
        <v/>
      </c>
      <c r="J217" s="3"/>
      <c r="K217" s="5" t="str">
        <f>IFERROR(Tabla347[[#This Row],[USD]]/$B$1,"")</f>
        <v/>
      </c>
    </row>
    <row r="218" spans="4:11" ht="15.75" x14ac:dyDescent="0.25">
      <c r="D218" s="2">
        <v>217</v>
      </c>
      <c r="E218" s="6"/>
      <c r="F218" s="2"/>
      <c r="G218" s="2"/>
      <c r="H218" s="2"/>
      <c r="I218" s="2" t="str">
        <f t="shared" si="3"/>
        <v/>
      </c>
      <c r="J218" s="3"/>
      <c r="K218" s="5" t="str">
        <f>IFERROR(Tabla347[[#This Row],[USD]]/$B$1,"")</f>
        <v/>
      </c>
    </row>
    <row r="219" spans="4:11" ht="15.75" x14ac:dyDescent="0.25">
      <c r="D219" s="2">
        <v>218</v>
      </c>
      <c r="E219" s="6"/>
      <c r="F219" s="2"/>
      <c r="G219" s="2"/>
      <c r="H219" s="2"/>
      <c r="I219" s="2" t="str">
        <f t="shared" si="3"/>
        <v/>
      </c>
      <c r="J219" s="3"/>
      <c r="K219" s="5" t="str">
        <f>IFERROR(Tabla347[[#This Row],[USD]]/$B$1,"")</f>
        <v/>
      </c>
    </row>
    <row r="220" spans="4:11" ht="15.75" x14ac:dyDescent="0.25">
      <c r="D220" s="2">
        <v>219</v>
      </c>
      <c r="E220" s="6"/>
      <c r="F220" s="2"/>
      <c r="G220" s="2"/>
      <c r="H220" s="2"/>
      <c r="I220" s="2" t="str">
        <f t="shared" si="3"/>
        <v/>
      </c>
      <c r="J220" s="3"/>
      <c r="K220" s="5" t="str">
        <f>IFERROR(Tabla347[[#This Row],[USD]]/$B$1,"")</f>
        <v/>
      </c>
    </row>
    <row r="221" spans="4:11" ht="15.75" x14ac:dyDescent="0.25">
      <c r="D221" s="2">
        <v>220</v>
      </c>
      <c r="E221" s="6"/>
      <c r="F221" s="2"/>
      <c r="G221" s="2"/>
      <c r="H221" s="2"/>
      <c r="I221" s="2" t="str">
        <f t="shared" si="3"/>
        <v/>
      </c>
      <c r="J221" s="3"/>
      <c r="K221" s="5" t="str">
        <f>IFERROR(Tabla347[[#This Row],[USD]]/$B$1,"")</f>
        <v/>
      </c>
    </row>
    <row r="222" spans="4:11" ht="15.75" x14ac:dyDescent="0.25">
      <c r="D222" s="2">
        <v>221</v>
      </c>
      <c r="E222" s="6"/>
      <c r="F222" s="2"/>
      <c r="G222" s="2"/>
      <c r="H222" s="2"/>
      <c r="I222" s="2" t="str">
        <f t="shared" si="3"/>
        <v/>
      </c>
      <c r="J222" s="3"/>
      <c r="K222" s="5" t="str">
        <f>IFERROR(Tabla347[[#This Row],[USD]]/$B$1,"")</f>
        <v/>
      </c>
    </row>
    <row r="223" spans="4:11" ht="15.75" x14ac:dyDescent="0.25">
      <c r="D223" s="2">
        <v>222</v>
      </c>
      <c r="E223" s="6"/>
      <c r="F223" s="2"/>
      <c r="G223" s="2"/>
      <c r="H223" s="2"/>
      <c r="I223" s="2" t="str">
        <f t="shared" si="3"/>
        <v/>
      </c>
      <c r="J223" s="3"/>
      <c r="K223" s="5" t="str">
        <f>IFERROR(Tabla347[[#This Row],[USD]]/$B$1,"")</f>
        <v/>
      </c>
    </row>
    <row r="224" spans="4:11" ht="15.75" x14ac:dyDescent="0.25">
      <c r="D224" s="2">
        <v>223</v>
      </c>
      <c r="E224" s="6"/>
      <c r="F224" s="2"/>
      <c r="G224" s="2"/>
      <c r="H224" s="2"/>
      <c r="I224" s="2" t="str">
        <f t="shared" si="3"/>
        <v/>
      </c>
      <c r="J224" s="3"/>
      <c r="K224" s="5" t="str">
        <f>IFERROR(Tabla347[[#This Row],[USD]]/$B$1,"")</f>
        <v/>
      </c>
    </row>
    <row r="225" spans="4:11" ht="15.75" x14ac:dyDescent="0.25">
      <c r="D225" s="2">
        <v>224</v>
      </c>
      <c r="E225" s="6"/>
      <c r="F225" s="2"/>
      <c r="G225" s="2"/>
      <c r="H225" s="2"/>
      <c r="I225" s="2" t="str">
        <f t="shared" si="3"/>
        <v/>
      </c>
      <c r="J225" s="3"/>
      <c r="K225" s="5" t="str">
        <f>IFERROR(Tabla347[[#This Row],[USD]]/$B$1,"")</f>
        <v/>
      </c>
    </row>
    <row r="226" spans="4:11" ht="15.75" x14ac:dyDescent="0.25">
      <c r="D226" s="2">
        <v>225</v>
      </c>
      <c r="E226" s="6"/>
      <c r="F226" s="2"/>
      <c r="G226" s="2"/>
      <c r="H226" s="2"/>
      <c r="I226" s="2" t="str">
        <f t="shared" si="3"/>
        <v/>
      </c>
      <c r="J226" s="3"/>
      <c r="K226" s="5" t="str">
        <f>IFERROR(Tabla347[[#This Row],[USD]]/$B$1,"")</f>
        <v/>
      </c>
    </row>
    <row r="227" spans="4:11" ht="15.75" x14ac:dyDescent="0.25">
      <c r="D227" s="2">
        <v>226</v>
      </c>
      <c r="E227" s="6"/>
      <c r="F227" s="2"/>
      <c r="G227" s="2"/>
      <c r="H227" s="2"/>
      <c r="I227" s="2" t="str">
        <f t="shared" si="3"/>
        <v/>
      </c>
      <c r="J227" s="3"/>
      <c r="K227" s="5" t="str">
        <f>IFERROR(Tabla347[[#This Row],[USD]]/$B$1,"")</f>
        <v/>
      </c>
    </row>
    <row r="228" spans="4:11" ht="15.75" x14ac:dyDescent="0.25">
      <c r="D228" s="2">
        <v>227</v>
      </c>
      <c r="E228" s="6"/>
      <c r="F228" s="2"/>
      <c r="G228" s="2"/>
      <c r="H228" s="2"/>
      <c r="I228" s="2" t="str">
        <f t="shared" si="3"/>
        <v/>
      </c>
      <c r="J228" s="3"/>
      <c r="K228" s="5" t="str">
        <f>IFERROR(Tabla347[[#This Row],[USD]]/$B$1,"")</f>
        <v/>
      </c>
    </row>
    <row r="229" spans="4:11" ht="15.75" x14ac:dyDescent="0.25">
      <c r="D229" s="2">
        <v>228</v>
      </c>
      <c r="E229" s="6"/>
      <c r="F229" s="2"/>
      <c r="G229" s="2"/>
      <c r="H229" s="2"/>
      <c r="I229" s="2" t="str">
        <f t="shared" si="3"/>
        <v/>
      </c>
      <c r="J229" s="3"/>
      <c r="K229" s="5" t="str">
        <f>IFERROR(Tabla347[[#This Row],[USD]]/$B$1,"")</f>
        <v/>
      </c>
    </row>
    <row r="230" spans="4:11" ht="15.75" x14ac:dyDescent="0.25">
      <c r="D230" s="2">
        <v>229</v>
      </c>
      <c r="E230" s="6"/>
      <c r="F230" s="2"/>
      <c r="G230" s="2"/>
      <c r="H230" s="2"/>
      <c r="I230" s="2" t="str">
        <f t="shared" si="3"/>
        <v/>
      </c>
      <c r="J230" s="3"/>
      <c r="K230" s="5" t="str">
        <f>IFERROR(Tabla347[[#This Row],[USD]]/$B$1,"")</f>
        <v/>
      </c>
    </row>
    <row r="231" spans="4:11" ht="15.75" x14ac:dyDescent="0.25">
      <c r="D231" s="2">
        <v>230</v>
      </c>
      <c r="E231" s="6"/>
      <c r="F231" s="2"/>
      <c r="G231" s="2"/>
      <c r="H231" s="2"/>
      <c r="I231" s="2" t="str">
        <f t="shared" si="3"/>
        <v/>
      </c>
      <c r="J231" s="3"/>
      <c r="K231" s="5" t="str">
        <f>IFERROR(Tabla347[[#This Row],[USD]]/$B$1,"")</f>
        <v/>
      </c>
    </row>
    <row r="232" spans="4:11" ht="15.75" x14ac:dyDescent="0.25">
      <c r="D232" s="2">
        <v>231</v>
      </c>
      <c r="E232" s="6"/>
      <c r="F232" s="2"/>
      <c r="G232" s="2"/>
      <c r="H232" s="2"/>
      <c r="I232" s="2" t="str">
        <f t="shared" si="3"/>
        <v/>
      </c>
      <c r="J232" s="3"/>
      <c r="K232" s="5" t="str">
        <f>IFERROR(Tabla347[[#This Row],[USD]]/$B$1,"")</f>
        <v/>
      </c>
    </row>
    <row r="233" spans="4:11" ht="15.75" x14ac:dyDescent="0.25">
      <c r="D233" s="2">
        <v>232</v>
      </c>
      <c r="E233" s="6"/>
      <c r="F233" s="2"/>
      <c r="G233" s="2"/>
      <c r="H233" s="2"/>
      <c r="I233" s="2" t="str">
        <f t="shared" si="3"/>
        <v/>
      </c>
      <c r="J233" s="3"/>
      <c r="K233" s="5" t="str">
        <f>IFERROR(Tabla347[[#This Row],[USD]]/$B$1,"")</f>
        <v/>
      </c>
    </row>
    <row r="234" spans="4:11" ht="15.75" x14ac:dyDescent="0.25">
      <c r="D234" s="2">
        <v>233</v>
      </c>
      <c r="E234" s="6"/>
      <c r="F234" s="2"/>
      <c r="G234" s="2"/>
      <c r="H234" s="2"/>
      <c r="I234" s="2" t="str">
        <f t="shared" si="3"/>
        <v/>
      </c>
      <c r="J234" s="3"/>
      <c r="K234" s="5" t="str">
        <f>IFERROR(Tabla347[[#This Row],[USD]]/$B$1,"")</f>
        <v/>
      </c>
    </row>
    <row r="235" spans="4:11" ht="15.75" x14ac:dyDescent="0.25">
      <c r="D235" s="2">
        <v>234</v>
      </c>
      <c r="E235" s="6"/>
      <c r="F235" s="2"/>
      <c r="G235" s="2"/>
      <c r="H235" s="2"/>
      <c r="I235" s="2" t="str">
        <f t="shared" si="3"/>
        <v/>
      </c>
      <c r="J235" s="3"/>
      <c r="K235" s="5" t="str">
        <f>IFERROR(Tabla347[[#This Row],[USD]]/$B$1,"")</f>
        <v/>
      </c>
    </row>
    <row r="236" spans="4:11" ht="15.75" x14ac:dyDescent="0.25">
      <c r="D236" s="2">
        <v>235</v>
      </c>
      <c r="E236" s="6"/>
      <c r="F236" s="2"/>
      <c r="G236" s="2"/>
      <c r="H236" s="2"/>
      <c r="I236" s="2" t="str">
        <f t="shared" si="3"/>
        <v/>
      </c>
      <c r="J236" s="3"/>
      <c r="K236" s="5" t="str">
        <f>IFERROR(Tabla347[[#This Row],[USD]]/$B$1,"")</f>
        <v/>
      </c>
    </row>
    <row r="237" spans="4:11" ht="15.75" x14ac:dyDescent="0.25">
      <c r="D237" s="2">
        <v>236</v>
      </c>
      <c r="E237" s="6"/>
      <c r="F237" s="2"/>
      <c r="G237" s="2"/>
      <c r="H237" s="2"/>
      <c r="I237" s="2" t="str">
        <f t="shared" si="3"/>
        <v/>
      </c>
      <c r="J237" s="3"/>
      <c r="K237" s="5" t="str">
        <f>IFERROR(Tabla347[[#This Row],[USD]]/$B$1,"")</f>
        <v/>
      </c>
    </row>
    <row r="238" spans="4:11" ht="15.75" x14ac:dyDescent="0.25">
      <c r="D238" s="2">
        <v>237</v>
      </c>
      <c r="E238" s="6"/>
      <c r="F238" s="2"/>
      <c r="G238" s="2"/>
      <c r="H238" s="2"/>
      <c r="I238" s="2" t="str">
        <f t="shared" si="3"/>
        <v/>
      </c>
      <c r="J238" s="3"/>
      <c r="K238" s="5" t="str">
        <f>IFERROR(Tabla347[[#This Row],[USD]]/$B$1,"")</f>
        <v/>
      </c>
    </row>
    <row r="239" spans="4:11" ht="15.75" x14ac:dyDescent="0.25">
      <c r="D239" s="2">
        <v>238</v>
      </c>
      <c r="E239" s="6"/>
      <c r="F239" s="2"/>
      <c r="G239" s="2"/>
      <c r="H239" s="2"/>
      <c r="I239" s="2" t="str">
        <f t="shared" si="3"/>
        <v/>
      </c>
      <c r="J239" s="3"/>
      <c r="K239" s="5" t="str">
        <f>IFERROR(Tabla347[[#This Row],[USD]]/$B$1,"")</f>
        <v/>
      </c>
    </row>
    <row r="240" spans="4:11" ht="15.75" x14ac:dyDescent="0.25">
      <c r="D240" s="2">
        <v>239</v>
      </c>
      <c r="E240" s="6"/>
      <c r="F240" s="2"/>
      <c r="G240" s="2"/>
      <c r="H240" s="2"/>
      <c r="I240" s="2" t="str">
        <f t="shared" si="3"/>
        <v/>
      </c>
      <c r="J240" s="3"/>
      <c r="K240" s="5" t="str">
        <f>IFERROR(Tabla347[[#This Row],[USD]]/$B$1,"")</f>
        <v/>
      </c>
    </row>
    <row r="241" spans="4:11" ht="15.75" x14ac:dyDescent="0.25">
      <c r="D241" s="2">
        <v>240</v>
      </c>
      <c r="E241" s="6"/>
      <c r="F241" s="2"/>
      <c r="G241" s="2"/>
      <c r="H241" s="2"/>
      <c r="I241" s="2" t="str">
        <f t="shared" si="3"/>
        <v/>
      </c>
      <c r="J241" s="3"/>
      <c r="K241" s="5" t="str">
        <f>IFERROR(Tabla347[[#This Row],[USD]]/$B$1,"")</f>
        <v/>
      </c>
    </row>
    <row r="242" spans="4:11" ht="15.75" x14ac:dyDescent="0.25">
      <c r="D242" s="2">
        <v>241</v>
      </c>
      <c r="E242" s="6"/>
      <c r="F242" s="2"/>
      <c r="G242" s="2"/>
      <c r="H242" s="2"/>
      <c r="I242" s="2" t="str">
        <f t="shared" si="3"/>
        <v/>
      </c>
      <c r="J242" s="3"/>
      <c r="K242" s="5" t="str">
        <f>IFERROR(Tabla347[[#This Row],[USD]]/$B$1,"")</f>
        <v/>
      </c>
    </row>
    <row r="243" spans="4:11" ht="15.75" x14ac:dyDescent="0.25">
      <c r="D243" s="2">
        <v>242</v>
      </c>
      <c r="E243" s="6"/>
      <c r="F243" s="2"/>
      <c r="G243" s="2"/>
      <c r="H243" s="2"/>
      <c r="I243" s="2" t="str">
        <f t="shared" si="3"/>
        <v/>
      </c>
      <c r="J243" s="3"/>
      <c r="K243" s="5" t="str">
        <f>IFERROR(Tabla347[[#This Row],[USD]]/$B$1,"")</f>
        <v/>
      </c>
    </row>
    <row r="244" spans="4:11" ht="15.75" x14ac:dyDescent="0.25">
      <c r="D244" s="2">
        <v>243</v>
      </c>
      <c r="E244" s="6"/>
      <c r="F244" s="2"/>
      <c r="G244" s="2"/>
      <c r="H244" s="2"/>
      <c r="I244" s="2" t="str">
        <f t="shared" si="3"/>
        <v/>
      </c>
      <c r="J244" s="3"/>
      <c r="K244" s="5" t="str">
        <f>IFERROR(Tabla347[[#This Row],[USD]]/$B$1,"")</f>
        <v/>
      </c>
    </row>
    <row r="245" spans="4:11" ht="15.75" x14ac:dyDescent="0.25">
      <c r="D245" s="2">
        <v>244</v>
      </c>
      <c r="E245" s="6"/>
      <c r="F245" s="2"/>
      <c r="G245" s="2"/>
      <c r="H245" s="2"/>
      <c r="I245" s="2" t="str">
        <f t="shared" si="3"/>
        <v/>
      </c>
      <c r="J245" s="3"/>
      <c r="K245" s="5" t="str">
        <f>IFERROR(Tabla347[[#This Row],[USD]]/$B$1,"")</f>
        <v/>
      </c>
    </row>
    <row r="246" spans="4:11" ht="15.75" x14ac:dyDescent="0.25">
      <c r="D246" s="2">
        <v>245</v>
      </c>
      <c r="E246" s="6"/>
      <c r="F246" s="2"/>
      <c r="G246" s="2"/>
      <c r="H246" s="2"/>
      <c r="I246" s="2" t="str">
        <f t="shared" si="3"/>
        <v/>
      </c>
      <c r="J246" s="3"/>
      <c r="K246" s="5" t="str">
        <f>IFERROR(Tabla347[[#This Row],[USD]]/$B$1,"")</f>
        <v/>
      </c>
    </row>
    <row r="247" spans="4:11" ht="15.75" x14ac:dyDescent="0.25">
      <c r="D247" s="2">
        <v>246</v>
      </c>
      <c r="E247" s="6"/>
      <c r="F247" s="2"/>
      <c r="G247" s="2"/>
      <c r="H247" s="2"/>
      <c r="I247" s="2" t="str">
        <f t="shared" si="3"/>
        <v/>
      </c>
      <c r="J247" s="3"/>
      <c r="K247" s="5" t="str">
        <f>IFERROR(Tabla347[[#This Row],[USD]]/$B$1,"")</f>
        <v/>
      </c>
    </row>
    <row r="248" spans="4:11" ht="15.75" x14ac:dyDescent="0.25">
      <c r="D248" s="2">
        <v>247</v>
      </c>
      <c r="E248" s="6"/>
      <c r="F248" s="2"/>
      <c r="G248" s="2"/>
      <c r="H248" s="2"/>
      <c r="I248" s="2" t="str">
        <f t="shared" si="3"/>
        <v/>
      </c>
      <c r="J248" s="3"/>
      <c r="K248" s="5" t="str">
        <f>IFERROR(Tabla347[[#This Row],[USD]]/$B$1,"")</f>
        <v/>
      </c>
    </row>
    <row r="249" spans="4:11" ht="15.75" x14ac:dyDescent="0.25">
      <c r="D249" s="2">
        <v>248</v>
      </c>
      <c r="E249" s="6"/>
      <c r="F249" s="2"/>
      <c r="G249" s="2"/>
      <c r="H249" s="2"/>
      <c r="I249" s="2" t="str">
        <f t="shared" si="3"/>
        <v/>
      </c>
      <c r="J249" s="3"/>
      <c r="K249" s="5" t="str">
        <f>IFERROR(Tabla347[[#This Row],[USD]]/$B$1,"")</f>
        <v/>
      </c>
    </row>
    <row r="250" spans="4:11" ht="15.75" x14ac:dyDescent="0.25">
      <c r="D250" s="2">
        <v>249</v>
      </c>
      <c r="E250" s="6"/>
      <c r="F250" s="2"/>
      <c r="G250" s="2"/>
      <c r="H250" s="2"/>
      <c r="I250" s="2" t="str">
        <f t="shared" si="3"/>
        <v/>
      </c>
      <c r="J250" s="3"/>
      <c r="K250" s="5" t="str">
        <f>IFERROR(Tabla347[[#This Row],[USD]]/$B$1,"")</f>
        <v/>
      </c>
    </row>
    <row r="251" spans="4:11" ht="15.75" x14ac:dyDescent="0.25">
      <c r="D251" s="2">
        <v>250</v>
      </c>
      <c r="E251" s="6"/>
      <c r="F251" s="2"/>
      <c r="G251" s="2"/>
      <c r="H251" s="2"/>
      <c r="I251" s="2" t="str">
        <f t="shared" si="3"/>
        <v/>
      </c>
      <c r="J251" s="3"/>
      <c r="K251" s="5" t="str">
        <f>IFERROR(Tabla347[[#This Row],[USD]]/$B$1,"")</f>
        <v/>
      </c>
    </row>
    <row r="252" spans="4:11" ht="15.75" x14ac:dyDescent="0.25">
      <c r="D252" s="2">
        <v>251</v>
      </c>
      <c r="E252" s="6"/>
      <c r="F252" s="2"/>
      <c r="G252" s="2"/>
      <c r="H252" s="2"/>
      <c r="I252" s="2" t="str">
        <f t="shared" si="3"/>
        <v/>
      </c>
      <c r="J252" s="3"/>
      <c r="K252" s="5" t="str">
        <f>IFERROR(Tabla347[[#This Row],[USD]]/$B$1,"")</f>
        <v/>
      </c>
    </row>
    <row r="253" spans="4:11" ht="15.75" x14ac:dyDescent="0.25">
      <c r="D253" s="2">
        <v>252</v>
      </c>
      <c r="E253" s="6"/>
      <c r="F253" s="2"/>
      <c r="G253" s="2"/>
      <c r="H253" s="2"/>
      <c r="I253" s="2" t="str">
        <f t="shared" si="3"/>
        <v/>
      </c>
      <c r="J253" s="3"/>
      <c r="K253" s="5" t="str">
        <f>IFERROR(Tabla347[[#This Row],[USD]]/$B$1,"")</f>
        <v/>
      </c>
    </row>
    <row r="254" spans="4:11" ht="15.75" x14ac:dyDescent="0.25">
      <c r="D254" s="2">
        <v>253</v>
      </c>
      <c r="E254" s="6"/>
      <c r="F254" s="2"/>
      <c r="G254" s="2"/>
      <c r="H254" s="2"/>
      <c r="I254" s="2" t="str">
        <f t="shared" si="3"/>
        <v/>
      </c>
      <c r="J254" s="3"/>
      <c r="K254" s="5" t="str">
        <f>IFERROR(Tabla347[[#This Row],[USD]]/$B$1,"")</f>
        <v/>
      </c>
    </row>
    <row r="255" spans="4:11" ht="15.75" x14ac:dyDescent="0.25">
      <c r="D255" s="2">
        <v>254</v>
      </c>
      <c r="E255" s="6"/>
      <c r="F255" s="2"/>
      <c r="G255" s="2"/>
      <c r="H255" s="2"/>
      <c r="I255" s="2" t="str">
        <f t="shared" si="3"/>
        <v/>
      </c>
      <c r="J255" s="3"/>
      <c r="K255" s="5" t="str">
        <f>IFERROR(Tabla347[[#This Row],[USD]]/$B$1,"")</f>
        <v/>
      </c>
    </row>
    <row r="256" spans="4:11" ht="15.75" x14ac:dyDescent="0.25">
      <c r="D256" s="2">
        <v>255</v>
      </c>
      <c r="E256" s="6"/>
      <c r="F256" s="2"/>
      <c r="G256" s="2"/>
      <c r="H256" s="2"/>
      <c r="I256" s="2" t="str">
        <f t="shared" si="3"/>
        <v/>
      </c>
      <c r="J256" s="3"/>
      <c r="K256" s="5" t="str">
        <f>IFERROR(Tabla347[[#This Row],[USD]]/$B$1,"")</f>
        <v/>
      </c>
    </row>
    <row r="257" spans="4:11" ht="15.75" x14ac:dyDescent="0.25">
      <c r="D257" s="2">
        <v>256</v>
      </c>
      <c r="E257" s="6"/>
      <c r="F257" s="2"/>
      <c r="G257" s="2"/>
      <c r="H257" s="2"/>
      <c r="I257" s="2" t="str">
        <f t="shared" si="3"/>
        <v/>
      </c>
      <c r="J257" s="3"/>
      <c r="K257" s="5" t="str">
        <f>IFERROR(Tabla347[[#This Row],[USD]]/$B$1,"")</f>
        <v/>
      </c>
    </row>
    <row r="258" spans="4:11" ht="15.75" x14ac:dyDescent="0.25">
      <c r="D258" s="2">
        <v>257</v>
      </c>
      <c r="E258" s="6"/>
      <c r="F258" s="2"/>
      <c r="G258" s="2"/>
      <c r="H258" s="2"/>
      <c r="I258" s="2" t="str">
        <f t="shared" si="3"/>
        <v/>
      </c>
      <c r="J258" s="3"/>
      <c r="K258" s="5" t="str">
        <f>IFERROR(Tabla347[[#This Row],[USD]]/$B$1,"")</f>
        <v/>
      </c>
    </row>
    <row r="259" spans="4:11" ht="15.75" x14ac:dyDescent="0.25">
      <c r="D259" s="2">
        <v>258</v>
      </c>
      <c r="E259" s="6"/>
      <c r="F259" s="2"/>
      <c r="G259" s="2"/>
      <c r="H259" s="2"/>
      <c r="I259" s="2" t="str">
        <f t="shared" ref="I259:I301" si="4">IF(J259="","",IF(J259&gt;3,"Ganado",IF(J259&lt;-3,"Perdido","Break Even")))</f>
        <v/>
      </c>
      <c r="J259" s="3"/>
      <c r="K259" s="5" t="str">
        <f>IFERROR(Tabla347[[#This Row],[USD]]/$B$1,"")</f>
        <v/>
      </c>
    </row>
    <row r="260" spans="4:11" ht="15.75" x14ac:dyDescent="0.25">
      <c r="D260" s="2">
        <v>259</v>
      </c>
      <c r="E260" s="6"/>
      <c r="F260" s="2"/>
      <c r="G260" s="2"/>
      <c r="H260" s="2"/>
      <c r="I260" s="2" t="str">
        <f t="shared" si="4"/>
        <v/>
      </c>
      <c r="J260" s="3"/>
      <c r="K260" s="5" t="str">
        <f>IFERROR(Tabla347[[#This Row],[USD]]/$B$1,"")</f>
        <v/>
      </c>
    </row>
    <row r="261" spans="4:11" ht="15.75" x14ac:dyDescent="0.25">
      <c r="D261" s="2">
        <v>260</v>
      </c>
      <c r="E261" s="6"/>
      <c r="F261" s="2"/>
      <c r="G261" s="2"/>
      <c r="H261" s="2"/>
      <c r="I261" s="2" t="str">
        <f t="shared" si="4"/>
        <v/>
      </c>
      <c r="J261" s="3"/>
      <c r="K261" s="5" t="str">
        <f>IFERROR(Tabla347[[#This Row],[USD]]/$B$1,"")</f>
        <v/>
      </c>
    </row>
    <row r="262" spans="4:11" ht="15.75" x14ac:dyDescent="0.25">
      <c r="D262" s="2">
        <v>261</v>
      </c>
      <c r="E262" s="6"/>
      <c r="F262" s="2"/>
      <c r="G262" s="2"/>
      <c r="H262" s="2"/>
      <c r="I262" s="2" t="str">
        <f t="shared" si="4"/>
        <v/>
      </c>
      <c r="J262" s="3"/>
      <c r="K262" s="5" t="str">
        <f>IFERROR(Tabla347[[#This Row],[USD]]/$B$1,"")</f>
        <v/>
      </c>
    </row>
    <row r="263" spans="4:11" ht="15.75" x14ac:dyDescent="0.25">
      <c r="D263" s="2">
        <v>262</v>
      </c>
      <c r="E263" s="6"/>
      <c r="F263" s="2"/>
      <c r="G263" s="2"/>
      <c r="H263" s="2"/>
      <c r="I263" s="2" t="str">
        <f t="shared" si="4"/>
        <v/>
      </c>
      <c r="J263" s="3"/>
      <c r="K263" s="5" t="str">
        <f>IFERROR(Tabla347[[#This Row],[USD]]/$B$1,"")</f>
        <v/>
      </c>
    </row>
    <row r="264" spans="4:11" ht="15.75" x14ac:dyDescent="0.25">
      <c r="D264" s="2">
        <v>263</v>
      </c>
      <c r="E264" s="6"/>
      <c r="F264" s="2"/>
      <c r="G264" s="2"/>
      <c r="H264" s="2"/>
      <c r="I264" s="2" t="str">
        <f t="shared" si="4"/>
        <v/>
      </c>
      <c r="J264" s="3"/>
      <c r="K264" s="5" t="str">
        <f>IFERROR(Tabla347[[#This Row],[USD]]/$B$1,"")</f>
        <v/>
      </c>
    </row>
    <row r="265" spans="4:11" ht="15.75" x14ac:dyDescent="0.25">
      <c r="D265" s="2">
        <v>264</v>
      </c>
      <c r="E265" s="6"/>
      <c r="F265" s="2"/>
      <c r="G265" s="2"/>
      <c r="H265" s="2"/>
      <c r="I265" s="2" t="str">
        <f t="shared" si="4"/>
        <v/>
      </c>
      <c r="J265" s="3"/>
      <c r="K265" s="5" t="str">
        <f>IFERROR(Tabla347[[#This Row],[USD]]/$B$1,"")</f>
        <v/>
      </c>
    </row>
    <row r="266" spans="4:11" ht="15.75" x14ac:dyDescent="0.25">
      <c r="D266" s="2">
        <v>265</v>
      </c>
      <c r="E266" s="6"/>
      <c r="F266" s="2"/>
      <c r="G266" s="2"/>
      <c r="H266" s="2"/>
      <c r="I266" s="2" t="str">
        <f t="shared" si="4"/>
        <v/>
      </c>
      <c r="J266" s="3"/>
      <c r="K266" s="5" t="str">
        <f>IFERROR(Tabla347[[#This Row],[USD]]/$B$1,"")</f>
        <v/>
      </c>
    </row>
    <row r="267" spans="4:11" ht="15.75" x14ac:dyDescent="0.25">
      <c r="D267" s="2">
        <v>266</v>
      </c>
      <c r="E267" s="6"/>
      <c r="F267" s="2"/>
      <c r="G267" s="2"/>
      <c r="H267" s="2"/>
      <c r="I267" s="2" t="str">
        <f t="shared" si="4"/>
        <v/>
      </c>
      <c r="J267" s="3"/>
      <c r="K267" s="5" t="str">
        <f>IFERROR(Tabla347[[#This Row],[USD]]/$B$1,"")</f>
        <v/>
      </c>
    </row>
    <row r="268" spans="4:11" ht="15.75" x14ac:dyDescent="0.25">
      <c r="D268" s="2">
        <v>267</v>
      </c>
      <c r="E268" s="6"/>
      <c r="F268" s="2"/>
      <c r="G268" s="2"/>
      <c r="H268" s="2"/>
      <c r="I268" s="2" t="str">
        <f t="shared" si="4"/>
        <v/>
      </c>
      <c r="J268" s="3"/>
      <c r="K268" s="5" t="str">
        <f>IFERROR(Tabla347[[#This Row],[USD]]/$B$1,"")</f>
        <v/>
      </c>
    </row>
    <row r="269" spans="4:11" ht="15.75" x14ac:dyDescent="0.25">
      <c r="D269" s="2">
        <v>268</v>
      </c>
      <c r="E269" s="6"/>
      <c r="F269" s="2"/>
      <c r="G269" s="2"/>
      <c r="H269" s="2"/>
      <c r="I269" s="2" t="str">
        <f t="shared" si="4"/>
        <v/>
      </c>
      <c r="J269" s="3"/>
      <c r="K269" s="5" t="str">
        <f>IFERROR(Tabla347[[#This Row],[USD]]/$B$1,"")</f>
        <v/>
      </c>
    </row>
    <row r="270" spans="4:11" ht="15.75" x14ac:dyDescent="0.25">
      <c r="D270" s="2">
        <v>269</v>
      </c>
      <c r="E270" s="6"/>
      <c r="F270" s="2"/>
      <c r="G270" s="2"/>
      <c r="H270" s="2"/>
      <c r="I270" s="2" t="str">
        <f t="shared" si="4"/>
        <v/>
      </c>
      <c r="J270" s="3"/>
      <c r="K270" s="5" t="str">
        <f>IFERROR(Tabla347[[#This Row],[USD]]/$B$1,"")</f>
        <v/>
      </c>
    </row>
    <row r="271" spans="4:11" ht="15.75" x14ac:dyDescent="0.25">
      <c r="D271" s="2">
        <v>270</v>
      </c>
      <c r="E271" s="6"/>
      <c r="F271" s="2"/>
      <c r="G271" s="2"/>
      <c r="H271" s="2"/>
      <c r="I271" s="2" t="str">
        <f t="shared" si="4"/>
        <v/>
      </c>
      <c r="J271" s="3"/>
      <c r="K271" s="5" t="str">
        <f>IFERROR(Tabla347[[#This Row],[USD]]/$B$1,"")</f>
        <v/>
      </c>
    </row>
    <row r="272" spans="4:11" ht="15.75" x14ac:dyDescent="0.25">
      <c r="D272" s="2">
        <v>271</v>
      </c>
      <c r="E272" s="6"/>
      <c r="F272" s="2"/>
      <c r="G272" s="2"/>
      <c r="H272" s="2"/>
      <c r="I272" s="2" t="str">
        <f t="shared" si="4"/>
        <v/>
      </c>
      <c r="J272" s="3"/>
      <c r="K272" s="5" t="str">
        <f>IFERROR(Tabla347[[#This Row],[USD]]/$B$1,"")</f>
        <v/>
      </c>
    </row>
    <row r="273" spans="4:11" ht="15.75" x14ac:dyDescent="0.25">
      <c r="D273" s="2">
        <v>272</v>
      </c>
      <c r="E273" s="6"/>
      <c r="F273" s="2"/>
      <c r="G273" s="2"/>
      <c r="H273" s="2"/>
      <c r="I273" s="2" t="str">
        <f t="shared" si="4"/>
        <v/>
      </c>
      <c r="J273" s="3"/>
      <c r="K273" s="5" t="str">
        <f>IFERROR(Tabla347[[#This Row],[USD]]/$B$1,"")</f>
        <v/>
      </c>
    </row>
    <row r="274" spans="4:11" ht="15.75" x14ac:dyDescent="0.25">
      <c r="D274" s="2">
        <v>273</v>
      </c>
      <c r="E274" s="6"/>
      <c r="F274" s="2"/>
      <c r="G274" s="2"/>
      <c r="H274" s="2"/>
      <c r="I274" s="2" t="str">
        <f t="shared" si="4"/>
        <v/>
      </c>
      <c r="J274" s="3"/>
      <c r="K274" s="5" t="str">
        <f>IFERROR(Tabla347[[#This Row],[USD]]/$B$1,"")</f>
        <v/>
      </c>
    </row>
    <row r="275" spans="4:11" ht="15.75" x14ac:dyDescent="0.25">
      <c r="D275" s="2">
        <v>274</v>
      </c>
      <c r="E275" s="6"/>
      <c r="F275" s="2"/>
      <c r="G275" s="2"/>
      <c r="H275" s="2"/>
      <c r="I275" s="2" t="str">
        <f t="shared" si="4"/>
        <v/>
      </c>
      <c r="J275" s="3"/>
      <c r="K275" s="5" t="str">
        <f>IFERROR(Tabla347[[#This Row],[USD]]/$B$1,"")</f>
        <v/>
      </c>
    </row>
    <row r="276" spans="4:11" ht="15.75" x14ac:dyDescent="0.25">
      <c r="D276" s="2">
        <v>275</v>
      </c>
      <c r="E276" s="6"/>
      <c r="F276" s="2"/>
      <c r="G276" s="2"/>
      <c r="H276" s="2"/>
      <c r="I276" s="2" t="str">
        <f t="shared" si="4"/>
        <v/>
      </c>
      <c r="J276" s="3"/>
      <c r="K276" s="5" t="str">
        <f>IFERROR(Tabla347[[#This Row],[USD]]/$B$1,"")</f>
        <v/>
      </c>
    </row>
    <row r="277" spans="4:11" ht="15.75" x14ac:dyDescent="0.25">
      <c r="D277" s="2">
        <v>276</v>
      </c>
      <c r="E277" s="6"/>
      <c r="F277" s="2"/>
      <c r="G277" s="2"/>
      <c r="H277" s="2"/>
      <c r="I277" s="2" t="str">
        <f t="shared" si="4"/>
        <v/>
      </c>
      <c r="J277" s="3"/>
      <c r="K277" s="5" t="str">
        <f>IFERROR(Tabla347[[#This Row],[USD]]/$B$1,"")</f>
        <v/>
      </c>
    </row>
    <row r="278" spans="4:11" ht="15.75" x14ac:dyDescent="0.25">
      <c r="D278" s="2">
        <v>277</v>
      </c>
      <c r="E278" s="6"/>
      <c r="F278" s="2"/>
      <c r="G278" s="2"/>
      <c r="H278" s="2"/>
      <c r="I278" s="2" t="str">
        <f t="shared" si="4"/>
        <v/>
      </c>
      <c r="J278" s="3"/>
      <c r="K278" s="5" t="str">
        <f>IFERROR(Tabla347[[#This Row],[USD]]/$B$1,"")</f>
        <v/>
      </c>
    </row>
    <row r="279" spans="4:11" ht="15.75" x14ac:dyDescent="0.25">
      <c r="D279" s="2">
        <v>278</v>
      </c>
      <c r="E279" s="6"/>
      <c r="F279" s="2"/>
      <c r="G279" s="2"/>
      <c r="H279" s="2"/>
      <c r="I279" s="2" t="str">
        <f t="shared" si="4"/>
        <v/>
      </c>
      <c r="J279" s="3"/>
      <c r="K279" s="5" t="str">
        <f>IFERROR(Tabla347[[#This Row],[USD]]/$B$1,"")</f>
        <v/>
      </c>
    </row>
    <row r="280" spans="4:11" ht="15.75" x14ac:dyDescent="0.25">
      <c r="D280" s="2">
        <v>279</v>
      </c>
      <c r="E280" s="6"/>
      <c r="F280" s="2"/>
      <c r="G280" s="2"/>
      <c r="H280" s="2"/>
      <c r="I280" s="2" t="str">
        <f t="shared" si="4"/>
        <v/>
      </c>
      <c r="J280" s="3"/>
      <c r="K280" s="5" t="str">
        <f>IFERROR(Tabla347[[#This Row],[USD]]/$B$1,"")</f>
        <v/>
      </c>
    </row>
    <row r="281" spans="4:11" ht="15.75" x14ac:dyDescent="0.25">
      <c r="D281" s="2">
        <v>280</v>
      </c>
      <c r="E281" s="6"/>
      <c r="F281" s="2"/>
      <c r="G281" s="2"/>
      <c r="H281" s="2"/>
      <c r="I281" s="2" t="str">
        <f t="shared" si="4"/>
        <v/>
      </c>
      <c r="J281" s="3"/>
      <c r="K281" s="5" t="str">
        <f>IFERROR(Tabla347[[#This Row],[USD]]/$B$1,"")</f>
        <v/>
      </c>
    </row>
    <row r="282" spans="4:11" ht="15.75" x14ac:dyDescent="0.25">
      <c r="D282" s="2">
        <v>281</v>
      </c>
      <c r="E282" s="6"/>
      <c r="F282" s="2"/>
      <c r="G282" s="2"/>
      <c r="H282" s="2"/>
      <c r="I282" s="2" t="str">
        <f t="shared" si="4"/>
        <v/>
      </c>
      <c r="J282" s="3"/>
      <c r="K282" s="5" t="str">
        <f>IFERROR(Tabla347[[#This Row],[USD]]/$B$1,"")</f>
        <v/>
      </c>
    </row>
    <row r="283" spans="4:11" ht="15.75" x14ac:dyDescent="0.25">
      <c r="D283" s="2">
        <v>282</v>
      </c>
      <c r="E283" s="6"/>
      <c r="F283" s="2"/>
      <c r="G283" s="2"/>
      <c r="H283" s="2"/>
      <c r="I283" s="2" t="str">
        <f t="shared" si="4"/>
        <v/>
      </c>
      <c r="J283" s="3"/>
      <c r="K283" s="5" t="str">
        <f>IFERROR(Tabla347[[#This Row],[USD]]/$B$1,"")</f>
        <v/>
      </c>
    </row>
    <row r="284" spans="4:11" ht="15.75" x14ac:dyDescent="0.25">
      <c r="D284" s="2">
        <v>283</v>
      </c>
      <c r="E284" s="6"/>
      <c r="F284" s="2"/>
      <c r="G284" s="2"/>
      <c r="H284" s="2"/>
      <c r="I284" s="2" t="str">
        <f t="shared" si="4"/>
        <v/>
      </c>
      <c r="J284" s="3"/>
      <c r="K284" s="5" t="str">
        <f>IFERROR(Tabla347[[#This Row],[USD]]/$B$1,"")</f>
        <v/>
      </c>
    </row>
    <row r="285" spans="4:11" ht="15.75" x14ac:dyDescent="0.25">
      <c r="D285" s="2">
        <v>284</v>
      </c>
      <c r="E285" s="6"/>
      <c r="F285" s="2"/>
      <c r="G285" s="2"/>
      <c r="H285" s="2"/>
      <c r="I285" s="2" t="str">
        <f t="shared" si="4"/>
        <v/>
      </c>
      <c r="J285" s="3"/>
      <c r="K285" s="5" t="str">
        <f>IFERROR(Tabla347[[#This Row],[USD]]/$B$1,"")</f>
        <v/>
      </c>
    </row>
    <row r="286" spans="4:11" ht="15.75" x14ac:dyDescent="0.25">
      <c r="D286" s="2">
        <v>285</v>
      </c>
      <c r="E286" s="6"/>
      <c r="F286" s="2"/>
      <c r="G286" s="2"/>
      <c r="H286" s="2"/>
      <c r="I286" s="2" t="str">
        <f t="shared" si="4"/>
        <v/>
      </c>
      <c r="J286" s="3"/>
      <c r="K286" s="5" t="str">
        <f>IFERROR(Tabla347[[#This Row],[USD]]/$B$1,"")</f>
        <v/>
      </c>
    </row>
    <row r="287" spans="4:11" ht="15.75" x14ac:dyDescent="0.25">
      <c r="D287" s="2">
        <v>286</v>
      </c>
      <c r="E287" s="2"/>
      <c r="F287" s="2"/>
      <c r="G287" s="2"/>
      <c r="H287" s="2"/>
      <c r="I287" s="2" t="str">
        <f t="shared" si="4"/>
        <v/>
      </c>
      <c r="J287" s="3"/>
      <c r="K287" s="5" t="str">
        <f>IFERROR(Tabla347[[#This Row],[USD]]/$B$1,"")</f>
        <v/>
      </c>
    </row>
    <row r="288" spans="4:11" ht="15.75" x14ac:dyDescent="0.25">
      <c r="D288" s="2">
        <v>287</v>
      </c>
      <c r="E288" s="2"/>
      <c r="F288" s="2"/>
      <c r="G288" s="2"/>
      <c r="H288" s="2"/>
      <c r="I288" s="2" t="str">
        <f t="shared" si="4"/>
        <v/>
      </c>
      <c r="J288" s="3"/>
      <c r="K288" s="5" t="str">
        <f>IFERROR(Tabla347[[#This Row],[USD]]/$B$1,"")</f>
        <v/>
      </c>
    </row>
    <row r="289" spans="4:11" ht="15.75" x14ac:dyDescent="0.25">
      <c r="D289" s="2">
        <v>288</v>
      </c>
      <c r="E289" s="2"/>
      <c r="F289" s="2"/>
      <c r="G289" s="2"/>
      <c r="H289" s="2"/>
      <c r="I289" s="2" t="str">
        <f t="shared" si="4"/>
        <v/>
      </c>
      <c r="J289" s="3"/>
      <c r="K289" s="5" t="str">
        <f>IFERROR(Tabla347[[#This Row],[USD]]/$B$1,"")</f>
        <v/>
      </c>
    </row>
    <row r="290" spans="4:11" ht="15.75" x14ac:dyDescent="0.25">
      <c r="D290" s="2">
        <v>289</v>
      </c>
      <c r="E290" s="2"/>
      <c r="F290" s="2"/>
      <c r="G290" s="2"/>
      <c r="H290" s="2"/>
      <c r="I290" s="2" t="str">
        <f t="shared" si="4"/>
        <v/>
      </c>
      <c r="J290" s="3"/>
      <c r="K290" s="5" t="str">
        <f>IFERROR(Tabla347[[#This Row],[USD]]/$B$1,"")</f>
        <v/>
      </c>
    </row>
    <row r="291" spans="4:11" ht="15.75" x14ac:dyDescent="0.25">
      <c r="D291" s="2">
        <v>290</v>
      </c>
      <c r="E291" s="2"/>
      <c r="F291" s="2"/>
      <c r="G291" s="2"/>
      <c r="H291" s="2"/>
      <c r="I291" s="2" t="str">
        <f t="shared" si="4"/>
        <v/>
      </c>
      <c r="J291" s="3"/>
      <c r="K291" s="5" t="str">
        <f>IFERROR(Tabla347[[#This Row],[USD]]/$B$1,"")</f>
        <v/>
      </c>
    </row>
    <row r="292" spans="4:11" ht="15.75" x14ac:dyDescent="0.25">
      <c r="D292" s="2">
        <v>291</v>
      </c>
      <c r="E292" s="2"/>
      <c r="F292" s="2"/>
      <c r="G292" s="2"/>
      <c r="H292" s="2"/>
      <c r="I292" s="2" t="str">
        <f t="shared" si="4"/>
        <v/>
      </c>
      <c r="J292" s="3"/>
      <c r="K292" s="5" t="str">
        <f>IFERROR(Tabla347[[#This Row],[USD]]/$B$1,"")</f>
        <v/>
      </c>
    </row>
    <row r="293" spans="4:11" ht="15.75" x14ac:dyDescent="0.25">
      <c r="D293" s="2">
        <v>292</v>
      </c>
      <c r="E293" s="2"/>
      <c r="F293" s="2"/>
      <c r="G293" s="2"/>
      <c r="H293" s="2"/>
      <c r="I293" s="2" t="str">
        <f t="shared" si="4"/>
        <v/>
      </c>
      <c r="J293" s="3"/>
      <c r="K293" s="5" t="str">
        <f>IFERROR(Tabla347[[#This Row],[USD]]/$B$1,"")</f>
        <v/>
      </c>
    </row>
    <row r="294" spans="4:11" ht="15.75" x14ac:dyDescent="0.25">
      <c r="D294" s="2">
        <v>293</v>
      </c>
      <c r="E294" s="2"/>
      <c r="F294" s="2"/>
      <c r="G294" s="2"/>
      <c r="H294" s="2"/>
      <c r="I294" s="2" t="str">
        <f t="shared" si="4"/>
        <v/>
      </c>
      <c r="J294" s="3"/>
      <c r="K294" s="5" t="str">
        <f>IFERROR(Tabla347[[#This Row],[USD]]/$B$1,"")</f>
        <v/>
      </c>
    </row>
    <row r="295" spans="4:11" ht="15.75" x14ac:dyDescent="0.25">
      <c r="D295" s="2">
        <v>294</v>
      </c>
      <c r="E295" s="2"/>
      <c r="F295" s="2"/>
      <c r="G295" s="2"/>
      <c r="H295" s="2"/>
      <c r="I295" s="2" t="str">
        <f t="shared" si="4"/>
        <v/>
      </c>
      <c r="J295" s="3"/>
      <c r="K295" s="5" t="str">
        <f>IFERROR(Tabla347[[#This Row],[USD]]/$B$1,"")</f>
        <v/>
      </c>
    </row>
    <row r="296" spans="4:11" ht="15.75" x14ac:dyDescent="0.25">
      <c r="D296" s="2">
        <v>295</v>
      </c>
      <c r="E296" s="2"/>
      <c r="F296" s="2"/>
      <c r="G296" s="2"/>
      <c r="H296" s="2"/>
      <c r="I296" s="2" t="str">
        <f t="shared" si="4"/>
        <v/>
      </c>
      <c r="J296" s="3"/>
      <c r="K296" s="5" t="str">
        <f>IFERROR(Tabla347[[#This Row],[USD]]/$B$1,"")</f>
        <v/>
      </c>
    </row>
    <row r="297" spans="4:11" ht="15.75" x14ac:dyDescent="0.25">
      <c r="D297" s="2">
        <v>296</v>
      </c>
      <c r="E297" s="2"/>
      <c r="F297" s="2"/>
      <c r="G297" s="2"/>
      <c r="H297" s="2"/>
      <c r="I297" s="2" t="str">
        <f t="shared" si="4"/>
        <v/>
      </c>
      <c r="J297" s="3"/>
      <c r="K297" s="5" t="str">
        <f>IFERROR(Tabla347[[#This Row],[USD]]/$B$1,"")</f>
        <v/>
      </c>
    </row>
    <row r="298" spans="4:11" ht="15.75" x14ac:dyDescent="0.25">
      <c r="D298" s="2">
        <v>297</v>
      </c>
      <c r="E298" s="2"/>
      <c r="F298" s="2"/>
      <c r="G298" s="2"/>
      <c r="H298" s="2"/>
      <c r="I298" s="2" t="str">
        <f t="shared" si="4"/>
        <v/>
      </c>
      <c r="J298" s="3"/>
      <c r="K298" s="5" t="str">
        <f>IFERROR(Tabla347[[#This Row],[USD]]/$B$1,"")</f>
        <v/>
      </c>
    </row>
    <row r="299" spans="4:11" ht="15.75" x14ac:dyDescent="0.25">
      <c r="D299" s="2">
        <v>298</v>
      </c>
      <c r="E299" s="2"/>
      <c r="F299" s="2"/>
      <c r="G299" s="2"/>
      <c r="H299" s="2"/>
      <c r="I299" s="2" t="str">
        <f t="shared" si="4"/>
        <v/>
      </c>
      <c r="J299" s="3"/>
      <c r="K299" s="5" t="str">
        <f>IFERROR(Tabla347[[#This Row],[USD]]/$B$1,"")</f>
        <v/>
      </c>
    </row>
    <row r="300" spans="4:11" ht="15.75" x14ac:dyDescent="0.25">
      <c r="D300" s="2">
        <v>299</v>
      </c>
      <c r="E300" s="2"/>
      <c r="F300" s="2"/>
      <c r="G300" s="2"/>
      <c r="H300" s="2"/>
      <c r="I300" s="2" t="str">
        <f t="shared" si="4"/>
        <v/>
      </c>
      <c r="J300" s="3"/>
      <c r="K300" s="5" t="str">
        <f>IFERROR(Tabla347[[#This Row],[USD]]/$B$1,"")</f>
        <v/>
      </c>
    </row>
    <row r="301" spans="4:11" ht="15.75" x14ac:dyDescent="0.25">
      <c r="D301" s="2">
        <v>300</v>
      </c>
      <c r="E301" s="2"/>
      <c r="F301" s="2"/>
      <c r="G301" s="2"/>
      <c r="H301" s="2"/>
      <c r="I301" s="2" t="str">
        <f t="shared" si="4"/>
        <v/>
      </c>
      <c r="J301" s="3"/>
      <c r="K301" s="5" t="str">
        <f>IFERROR(Tabla347[[#This Row],[USD]]/$B$1,"")</f>
        <v/>
      </c>
    </row>
    <row r="397" spans="18:34" ht="18.75" customHeight="1" x14ac:dyDescent="0.25">
      <c r="R397" s="86" t="s">
        <v>26</v>
      </c>
      <c r="S397" s="86"/>
      <c r="T397" s="86"/>
      <c r="U397" s="86"/>
      <c r="V397" s="86"/>
      <c r="X397" s="83" t="s">
        <v>28</v>
      </c>
      <c r="Y397" s="83"/>
      <c r="Z397" s="83"/>
      <c r="AA397" s="83"/>
      <c r="AB397" s="83"/>
      <c r="AD397" s="84" t="s">
        <v>27</v>
      </c>
      <c r="AE397" s="84"/>
      <c r="AF397" s="84"/>
      <c r="AG397" s="84"/>
      <c r="AH397" s="84"/>
    </row>
    <row r="398" spans="18:34" ht="15.75" customHeight="1" x14ac:dyDescent="0.25">
      <c r="R398" s="86"/>
      <c r="S398" s="86"/>
      <c r="T398" s="86"/>
      <c r="U398" s="86"/>
      <c r="V398" s="86"/>
      <c r="X398" s="83"/>
      <c r="Y398" s="83"/>
      <c r="Z398" s="83"/>
      <c r="AA398" s="83"/>
      <c r="AB398" s="83"/>
      <c r="AD398" s="84"/>
      <c r="AE398" s="84"/>
      <c r="AF398" s="84"/>
      <c r="AG398" s="84"/>
      <c r="AH398" s="84"/>
    </row>
    <row r="401" spans="18:34" ht="15.75" x14ac:dyDescent="0.25">
      <c r="R401" s="27" t="str">
        <f>IFERROR((COUNTIFS(I401:I1398,"100x",J401:J1398,"Ida",L401:L1398,"Ganado")+(COUNTIFS(I401:I1398,"100x",J401:J1398,"Ida",L401:L1398,"Break Even")))/(COUNTIFS(I401:I1398,"100x",J401:J1398,"Ida")),"Sin Datos")</f>
        <v>Sin Datos</v>
      </c>
      <c r="S401" s="27" t="str">
        <f>IFERROR((COUNTIFS(I401:I1398,"100x",J401:J1398,"Vuelta",L401:L1398,"Ganado")+(COUNTIFS(I401:I1398,"100x",J401:J1398,"Vuelta",L401:L1398,"Break Even")))/(COUNTIFS(I401:I1398,"100x",J401:J1398,"Vuelta")),"Sin Datos")</f>
        <v>Sin Datos</v>
      </c>
      <c r="T401" s="27" t="str">
        <f>IFERROR((COUNTIFS(I401:I1398,"100x",K401:K1398,"Long",L401:L1398,"Ganado")+(COUNTIFS(I401:I1398,"100x",K401:K1398,"Long",L401:L1398,"Break Even")))/(COUNTIFS(I401:I1398,"100x",K401:K1398,"Long")),"Sin Datos")</f>
        <v>Sin Datos</v>
      </c>
      <c r="U401" s="27" t="str">
        <f>IFERROR((COUNTIFS(I401:I1398,"100x",K401:K1398,"Short",L401:L1398,"Ganado")+(COUNTIFS(I401:I1398,"100x",K401:K1398,"Short",L401:L1398,"Break Even")))/(COUNTIFS(I401:I1398,"100x",K401:K1398,"Short")),"Sin Datos")</f>
        <v>Sin Datos</v>
      </c>
      <c r="V401" s="4" t="str">
        <f>IFERROR((COUNTIFS(I401:I1398,"100x",L401:L1398,"Ganado")+(COUNTIFS(I401:I1398,"100x",L401:L1398,"Break Even")))/(Q401),"Sin Datos")</f>
        <v>Sin Datos</v>
      </c>
      <c r="X401" s="27" t="str">
        <f>IFERROR((COUNTIFS(O401:O1398,"100x",P401:P1398,"Ida",R401:R1398,"Ganado"))/(COUNTIFS(O401:O1398,"100x",P401:P1398,"Ida")-(COUNTIFS(O401:O1398,"100x",P401:P1398,"Ida",R401:R1398,"Break Even"))),"Sin Datos")</f>
        <v>Sin Datos</v>
      </c>
      <c r="Y401" s="27" t="str">
        <f>IFERROR((COUNTIFS(O401:O1398,"100x",P401:P1398,"Vuelta",R401:R1398,"Ganado"))/(COUNTIFS(O401:O1398,"100x",P401:P1398,"Vuelta")-(COUNTIFS(O401:O1398,"100x",P401:P1398,"Vuelta",R401:R1398,"Break Even"))),"Sin Datos")</f>
        <v>Sin Datos</v>
      </c>
      <c r="Z401" s="27" t="str">
        <f>IFERROR((COUNTIFS(O401:O1398,"100x",Q401:Q1398,"Long",R401:R1398,"Ganado"))/(COUNTIFS(O401:O1398,"100x",Q401:Q1398,"Long")-(COUNTIFS(O401:O1398,"100x",Q401:Q1398,"Long",R401:R1398,"Break Even"))),"Sin Datos")</f>
        <v>Sin Datos</v>
      </c>
      <c r="AA401" s="27" t="str">
        <f>IFERROR((COUNTIFS(O401:O1398,"100x",Q401:Q1398,"Short",R401:R1398,"Ganado"))/(COUNTIFS(O401:O1398,"100x",Q401:Q1398,"Short")-(COUNTIFS(O401:O1398,"100x",Q401:Q1398,"Short",R401:R1398,"Break Even"))),"Sin Datos")</f>
        <v>Sin Datos</v>
      </c>
      <c r="AB401" s="4" t="str">
        <f>IFERROR((COUNTIFS(O401:O1398,"100x",R401:R1398,"Ganado"))/((W401)-(COUNTIFS(O401:O1398,"100x",R401:R1398,"Break Even"))),"Sin Datos")</f>
        <v>Sin Datos</v>
      </c>
      <c r="AD401" s="27" t="str">
        <f>IFERROR((COUNTIFS(U401:U1398,"100x",V401:V1398,"Ida",X401:X1398,"Ganado"))/(COUNTIFS(U401:U1398,"100x",V401:V1398,"Ida")),"Sin Datos")</f>
        <v>Sin Datos</v>
      </c>
      <c r="AE401" s="27" t="str">
        <f>IFERROR((COUNTIFS(U401:U1398,"100x",V401:V1398,"Vuelta",X401:X1398,"Ganado"))/(COUNTIFS(U401:U1398,"100x",V401:V1398,"Vuelta")),"Sin Datos")</f>
        <v>Sin Datos</v>
      </c>
      <c r="AF401" s="27" t="str">
        <f>IFERROR((COUNTIFS(U401:U1398,"100x",W401:W1398,"Long",X401:X1398,"Ganado"))/(COUNTIFS(U401:U1398,"100x",W401:W1398,"Long")),"Sin Datos")</f>
        <v>Sin Datos</v>
      </c>
      <c r="AG401" s="27" t="str">
        <f>IFERROR((COUNTIFS(U401:U1398,"100x",W401:W1398,"Short",X401:X1398,"Ganado"))/(COUNTIFS(U401:U1398,"100x",W401:W1398,"Short")),"Sin Datos")</f>
        <v>Sin Datos</v>
      </c>
      <c r="AH401" s="4" t="str">
        <f>IFERROR((COUNTIFS(U401:U1398,"100x",X401:X1398,"Ganado"))/(AC401),"Sin Datos")</f>
        <v>Sin Datos</v>
      </c>
    </row>
    <row r="402" spans="18:34" ht="15.75" x14ac:dyDescent="0.25">
      <c r="R402" s="27" t="str">
        <f>IFERROR((COUNTIFS(I401:I1398,"50x",J401:J1398,"Ida",L401:L1398,"Ganado")+(COUNTIFS(I401:I1398,"50x",J401:J1398,"Ida",L401:L1398,"Break Even")))/(COUNTIFS(I401:I1398,"50x",J401:J1398,"Ida")),"Sin Datos")</f>
        <v>Sin Datos</v>
      </c>
      <c r="S402" s="27" t="str">
        <f>IFERROR((COUNTIFS(I401:I1398,"50x",J401:J1398,"Vuelta",L401:L1398,"Ganado")+(COUNTIFS(I401:I1398,"50x",J401:J1398,"Vuelta",L401:L1398,"Break Even")))/(COUNTIFS(I401:I1398,"50x",J401:J1398,"Vuelta")),"Sin Datos")</f>
        <v>Sin Datos</v>
      </c>
      <c r="T402" s="27" t="str">
        <f>IFERROR((COUNTIFS(I401:I1398,"50x",K401:K1398,"Long",L401:L1398,"Ganado")+(COUNTIFS(I401:I1398,"50x",K401:K1398,"Long",L401:L1398,"Break Even")))/(COUNTIFS(I401:I1398,"50x",K401:K1398,"Long")),"Sin Datos")</f>
        <v>Sin Datos</v>
      </c>
      <c r="U402" s="27" t="str">
        <f>IFERROR((COUNTIFS(I401:I1398,"50x",K401:K1398,"Short",L401:L1398,"Ganado")+(COUNTIFS(I401:I1398,"50x",K401:K1398,"Short",L401:L1398,"Break Even")))/(COUNTIFS(I401:I1398,"50x",K401:K1398,"Short")),"Sin Datos")</f>
        <v>Sin Datos</v>
      </c>
      <c r="V402" s="4" t="str">
        <f>IFERROR((COUNTIFS(I401:I1398,"50x",L401:L1398,"Ganado")+(COUNTIFS(I401:I1398,"50x",L401:L1398,"Break Even")))/(Q402),"Sin Datos")</f>
        <v>Sin Datos</v>
      </c>
      <c r="X402" s="27" t="str">
        <f>IFERROR((COUNTIFS(O401:O1398,"50x",P401:P1398,"Ida",R401:R1398,"Ganado"))/(COUNTIFS(O401:O1398,"50x",P401:P1398,"Ida")-(COUNTIFS(O401:O1398,"50x",P401:P1398,"Ida",R401:R1398,"Break Even"))),"Sin Datos")</f>
        <v>Sin Datos</v>
      </c>
      <c r="Y402" s="27" t="str">
        <f>IFERROR((COUNTIFS(O401:O1398,"50x",P401:P1398,"Vuelta",R401:R1398,"Ganado"))/(COUNTIFS(O401:O1398,"50x",P401:P1398,"Vuelta")-(COUNTIFS(O401:O1398,"50x",P401:P1398,"Vuelta",R401:R1398,"Break Even"))),"Sin Datos")</f>
        <v>Sin Datos</v>
      </c>
      <c r="Z402" s="27" t="str">
        <f>IFERROR((COUNTIFS(O401:O1398,"50x",Q401:Q1398,"Long",R401:R1398,"Ganado"))/(COUNTIFS(O401:O1398,"50x",Q401:Q1398,"Long")-(COUNTIFS(O401:O1398,"50x",Q401:Q1398,"Long",R401:R1398,"Break Even"))),"Sin Datos")</f>
        <v>Sin Datos</v>
      </c>
      <c r="AA402" s="27" t="str">
        <f>IFERROR((COUNTIFS(O401:O1398,"50x",Q401:Q1398,"Short",R401:R1398,"Ganado"))/(COUNTIFS(O401:O1398,"50x",Q401:Q1398,"Short")-(COUNTIFS(O401:O1398,"50x",Q401:Q1398,"Short",R401:R1398,"Break Even"))),"Sin Datos")</f>
        <v>Sin Datos</v>
      </c>
      <c r="AB402" s="4" t="str">
        <f>IFERROR((COUNTIFS(O401:O1398,"50x",R401:R1398,"Ganado"))/((W402)-(COUNTIFS(O401:O1398,"50x",R401:R1398,"Break Even"))),"Sin Datos")</f>
        <v>Sin Datos</v>
      </c>
      <c r="AD402" s="27" t="str">
        <f>IFERROR((COUNTIFS(U401:U1398,"50x",V401:V1398,"Ida",X401:X1398,"Ganado"))/(COUNTIFS(U401:U1398,"50x",V401:V1398,"Ida")),"Sin Datos")</f>
        <v>Sin Datos</v>
      </c>
      <c r="AE402" s="27" t="str">
        <f>IFERROR((COUNTIFS(U401:U1398,"50x",V401:V1398,"Vuelta",X401:X1398,"Ganado"))/(COUNTIFS(U401:U1398,"50x",V401:V1398,"Vuelta")),"Sin Datos")</f>
        <v>Sin Datos</v>
      </c>
      <c r="AF402" s="27" t="str">
        <f>IFERROR((COUNTIFS(U401:U1398,"50x",W401:W1398,"Long",X401:X1398,"Ganado"))/(COUNTIFS(U401:U1398,"50x",W401:W1398,"Long")),"Sin Datos")</f>
        <v>Sin Datos</v>
      </c>
      <c r="AG402" s="27" t="str">
        <f>IFERROR((COUNTIFS(U401:U1398,"50x",W401:W1398,"Short",X401:X1398,"Ganado"))/(COUNTIFS(U401:U1398,"50x",W401:W1398,"Short")),"Sin Datos")</f>
        <v>Sin Datos</v>
      </c>
      <c r="AH402" s="4" t="str">
        <f>IFERROR((COUNTIFS(U401:U1398,"50x",X401:X1398,"Ganado"))/(AC402),"Sin Datos")</f>
        <v>Sin Datos</v>
      </c>
    </row>
    <row r="403" spans="18:34" ht="15.75" x14ac:dyDescent="0.25">
      <c r="R403" s="27" t="str">
        <f>IFERROR((COUNTIFS(I401:I1398,"25x",J401:J1398,"Ida",L401:L1398,"Ganado")+(COUNTIFS(I401:I1398,"25x",J401:J1398,"Ida",L401:L1398,"Break Even")))/(COUNTIFS(I401:I1398,"25x",J401:J1398,"Ida")),"Sin Datos")</f>
        <v>Sin Datos</v>
      </c>
      <c r="S403" s="27" t="str">
        <f>IFERROR((COUNTIFS(I401:I1398,"25x",J401:J1398,"Vuelta",L401:L1398,"Ganado")+(COUNTIFS(I401:I1398,"25x",J401:J1398,"Vuelta",L401:L1398,"Break Even")))/(COUNTIFS(I401:I1398,"25x",J401:J1398,"Vuelta")),"Sin Datos")</f>
        <v>Sin Datos</v>
      </c>
      <c r="T403" s="27" t="str">
        <f>IFERROR((COUNTIFS(I401:I1398,"25x",K401:K1398,"Long",L401:L1398,"Ganado")+(COUNTIFS(I401:I1398,"25x",K401:K1398,"Long",L401:L1398,"Break Even")))/(COUNTIFS(I401:I1398,"25x",K401:K1398,"Long")),"Sin Datos")</f>
        <v>Sin Datos</v>
      </c>
      <c r="U403" s="27" t="str">
        <f>IFERROR((COUNTIFS(I401:I1398,"25x",K401:K1398,"Short",L401:L1398,"Ganado")+(COUNTIFS(I401:I1398,"25x",K401:K1398,"Short",L401:L1398,"Break Even")))/(COUNTIFS(I401:I1398,"25x",K401:K1398,"Short")),"Sin Datos")</f>
        <v>Sin Datos</v>
      </c>
      <c r="V403" s="4" t="str">
        <f>IFERROR((COUNTIFS(I401:I1398,"25x",L401:L1398,"Ganado")+(COUNTIFS(I401:I1398,"25x",L401:L1398,"Break Even")))/(Q403),"Sin Datos")</f>
        <v>Sin Datos</v>
      </c>
      <c r="X403" s="27" t="str">
        <f>IFERROR((COUNTIFS(O401:O1398,"25x",P401:P1398,"Ida",R401:R1398,"Ganado"))/(COUNTIFS(O401:O1398,"25x",P401:P1398,"Ida")-(COUNTIFS(O401:O1398,"25x",P401:P1398,"Ida",R401:R1398,"Break Even"))),"Sin Datos")</f>
        <v>Sin Datos</v>
      </c>
      <c r="Y403" s="27" t="str">
        <f>IFERROR((COUNTIFS(O401:O1398,"25x",P401:P1398,"Vuelta",R401:R1398,"Ganado"))/(COUNTIFS(O401:O1398,"25x",P401:P1398,"Vuelta")-(COUNTIFS(O401:O1398,"25x",P401:P1398,"Vuelta",R401:R1398,"Break Even"))),"Sin Datos")</f>
        <v>Sin Datos</v>
      </c>
      <c r="Z403" s="27" t="str">
        <f>IFERROR((COUNTIFS(O401:O1398,"25x",Q401:Q1398,"Long",R401:R1398,"Ganado"))/(COUNTIFS(O401:O1398,"25x",Q401:Q1398,"Long")-(COUNTIFS(O401:O1398,"25x",Q401:Q1398,"Long",R401:R1398,"Break Even"))),"Sin Datos")</f>
        <v>Sin Datos</v>
      </c>
      <c r="AA403" s="27" t="str">
        <f>IFERROR((COUNTIFS(O401:O1398,"25x",Q401:Q1398,"Short",R401:R1398,"Ganado"))/(COUNTIFS(O401:O1398,"25x",Q401:Q1398,"Short")-(COUNTIFS(O401:O1398,"25x",Q401:Q1398,"Short",R401:R1398,"Break Even"))),"Sin Datos")</f>
        <v>Sin Datos</v>
      </c>
      <c r="AB403" s="4" t="str">
        <f>IFERROR((COUNTIFS(O401:O1398,"25x",R401:R1398,"Ganado"))/((W403)-(COUNTIFS(O401:O1398,"25x",R401:R1398,"Break Even"))),"Sin Datos")</f>
        <v>Sin Datos</v>
      </c>
      <c r="AD403" s="27" t="str">
        <f>IFERROR((COUNTIFS(U401:U1398,"25x",V401:V1398,"Ida",X401:X1398,"Ganado"))/(COUNTIFS(U401:U1398,"25x",V401:V1398,"Ida")),"Sin Datos")</f>
        <v>Sin Datos</v>
      </c>
      <c r="AE403" s="27" t="str">
        <f>IFERROR((COUNTIFS(U401:U1398,"25x",V401:V1398,"Vuelta",X401:X1398,"Ganado"))/(COUNTIFS(U401:U1398,"25x",V401:V1398,"Vuelta")),"Sin Datos")</f>
        <v>Sin Datos</v>
      </c>
      <c r="AF403" s="27" t="str">
        <f>IFERROR((COUNTIFS(U401:U1398,"25x",W401:W1398,"Long",X401:X1398,"Ganado"))/(COUNTIFS(U401:U1398,"25x",W401:W1398,"Long")),"Sin Datos")</f>
        <v>Sin Datos</v>
      </c>
      <c r="AG403" s="27" t="str">
        <f>IFERROR((COUNTIFS(U401:U1398,"25x",W401:W1398,"Short",X401:X1398,"Ganado"))/(COUNTIFS(U401:U1398,"25x",W401:W1398,"Short")),"Sin Datos")</f>
        <v>Sin Datos</v>
      </c>
      <c r="AH403" s="4" t="str">
        <f>IFERROR((COUNTIFS(U401:U1398,"25x",X401:X1398,"Ganado"))/(AC403),"Sin Datos")</f>
        <v>Sin Datos</v>
      </c>
    </row>
    <row r="404" spans="18:34" ht="15.75" x14ac:dyDescent="0.25">
      <c r="R404" s="27" t="str">
        <f>IFERROR((COUNTIFS(I401:I1398,"10x",J401:J1398,"Ida",L401:L1398,"Ganado")+(COUNTIFS(I401:I1398,"10x",J401:J1398,"Ida",L401:L1398,"Break Even")))/(COUNTIFS(I401:I1398,"10x",J401:J1398,"Ida")),"Sin Datos")</f>
        <v>Sin Datos</v>
      </c>
      <c r="S404" s="27" t="str">
        <f>IFERROR((COUNTIFS(I401:I1398,"10x",J401:J1398,"Vuelta",L401:L1398,"Ganado")+(COUNTIFS(I401:I1398,"10x",J401:J1398,"Vuelta",L401:L1398,"Break Even")))/(COUNTIFS(I401:I1398,"10x",J401:J1398,"Vuelta")),"Sin Datos")</f>
        <v>Sin Datos</v>
      </c>
      <c r="T404" s="27" t="str">
        <f>IFERROR((COUNTIFS(I401:I1398,"10x",K401:K1398,"Long",L401:L1398,"Ganado")+(COUNTIFS(I401:I1398,"10x",K401:K1398,"Long",L401:L1398,"Break Even")))/(COUNTIFS(I401:I1398,"10x",K401:K1398,"Long")),"Sin Datos")</f>
        <v>Sin Datos</v>
      </c>
      <c r="U404" s="27" t="str">
        <f>IFERROR((COUNTIFS(I401:I1398,"10x",K401:K1398,"Short",L401:L1398,"Ganado")+(COUNTIFS(I401:I1398,"10x",K401:K1398,"Short",L401:L1398,"Break Even")))/(COUNTIFS(I401:I1398,"10x",K401:K1398,"Short")),"Sin Datos")</f>
        <v>Sin Datos</v>
      </c>
      <c r="V404" s="4" t="str">
        <f>IFERROR((COUNTIFS(I401:I1398,"10x",L401:L1398,"Ganado")+(COUNTIFS(I401:I1398,"10x",L401:L1398,"Break Even")))/(Q404),"Sin Datos")</f>
        <v>Sin Datos</v>
      </c>
      <c r="X404" s="27" t="str">
        <f>IFERROR((COUNTIFS(O401:O1398,"10x",P401:P1398,"Ida",R401:R1398,"Ganado"))/(COUNTIFS(O401:O1398,"10x",P401:P1398,"Ida")-(COUNTIFS(O401:O1398,"10x",P401:P1398,"Ida",R401:R1398,"Break Even"))),"Sin Datos")</f>
        <v>Sin Datos</v>
      </c>
      <c r="Y404" s="27" t="str">
        <f>IFERROR((COUNTIFS(O401:O1398,"10x",P401:P1398,"Vuelta",R401:R1398,"Ganado"))/(COUNTIFS(O401:O1398,"10x",P401:P1398,"Vuelta")-(COUNTIFS(O401:O1398,"10x",P401:P1398,"Vuelta",R401:R1398,"Break Even"))),"Sin Datos")</f>
        <v>Sin Datos</v>
      </c>
      <c r="Z404" s="27" t="str">
        <f>IFERROR((COUNTIFS(O401:O1398,"10x",Q401:Q1398,"Long",R401:R1398,"Ganado"))/(COUNTIFS(O401:O1398,"10x",Q401:Q1398,"Long")-(COUNTIFS(O401:O1398,"10x",Q401:Q1398,"Long",R401:R1398,"Break Even"))),"Sin Datos")</f>
        <v>Sin Datos</v>
      </c>
      <c r="AA404" s="27" t="str">
        <f>IFERROR((COUNTIFS(O401:O1398,"10x",Q401:Q1398,"Short",R401:R1398,"Ganado"))/(COUNTIFS(O401:O1398,"10x",Q401:Q1398,"Short")-(COUNTIFS(O401:O1398,"10x",Q401:Q1398,"Short",R401:R1398,"Break Even"))),"Sin Datos")</f>
        <v>Sin Datos</v>
      </c>
      <c r="AB404" s="4" t="str">
        <f>IFERROR((COUNTIFS(O401:O1398,"10x",R401:R1398,"Ganado"))/((W404)-(COUNTIFS(O401:O1398,"10x",R401:R1398,"Break Even"))),"Sin Datos")</f>
        <v>Sin Datos</v>
      </c>
      <c r="AD404" s="27" t="str">
        <f>IFERROR((COUNTIFS(U401:U1398,"10x",V401:V1398,"Ida",X401:X1398,"Ganado"))/(COUNTIFS(U401:U1398,"10x",V401:V1398,"Ida")),"Sin Datos")</f>
        <v>Sin Datos</v>
      </c>
      <c r="AE404" s="27" t="str">
        <f>IFERROR((COUNTIFS(U401:U1398,"10x",V401:V1398,"Vuelta",X401:X1398,"Ganado"))/(COUNTIFS(U401:U1398,"10x",V401:V1398,"Vuelta")),"Sin Datos")</f>
        <v>Sin Datos</v>
      </c>
      <c r="AF404" s="27" t="str">
        <f>IFERROR((COUNTIFS(U401:U1398,"10x",W401:W1398,"Long",X401:X1398,"Ganado"))/(COUNTIFS(U401:U1398,"10x",W401:W1398,"Long")),"Sin Datos")</f>
        <v>Sin Datos</v>
      </c>
      <c r="AG404" s="27" t="str">
        <f>IFERROR((COUNTIFS(U401:U1398,"10x",W401:W1398,"Short",X401:X1398,"Ganado"))/(COUNTIFS(U401:U1398,"10x",W401:W1398,"Short")),"Sin Datos")</f>
        <v>Sin Datos</v>
      </c>
      <c r="AH404" s="4" t="str">
        <f>IFERROR((COUNTIFS(U401:U1398,"10x",X401:X1398,"Ganado"))/(AC404),"Sin Datos")</f>
        <v>Sin Datos</v>
      </c>
    </row>
    <row r="405" spans="18:34" ht="15.75" x14ac:dyDescent="0.25">
      <c r="R405" s="27" t="str">
        <f>IFERROR((COUNTIFS(I401:I1398,"5x",J401:J1398,"Ida",L401:L1398,"Ganado")+(COUNTIFS(I401:I1398,"5x",J401:J1398,"Ida",L401:L1398,"Break Even")))/(COUNTIFS(I401:I1398,"5x",J401:J1398,"Ida")),"Sin Datos")</f>
        <v>Sin Datos</v>
      </c>
      <c r="S405" s="27" t="str">
        <f>IFERROR((COUNTIFS(I401:I1398,"5x",J401:J1398,"Vuelta",L401:L1398,"Ganado")+(COUNTIFS(I401:I1398,"5x",J401:J1398,"Vuelta",L401:L1398,"Break Even")))/(COUNTIFS(I401:I1398,"5x",J401:J1398,"Vuelta")),"Sin Datos")</f>
        <v>Sin Datos</v>
      </c>
      <c r="T405" s="27" t="str">
        <f>IFERROR((COUNTIFS(I401:I1398,"5x",K401:K1398,"Long",L401:L1398,"Ganado")+(COUNTIFS(I401:I1398,"5x",K401:K1398,"Long",L401:L1398,"Break Even")))/(COUNTIFS(I401:I1398,"5x",K401:K1398,"Long")),"Sin Datos")</f>
        <v>Sin Datos</v>
      </c>
      <c r="U405" s="27" t="str">
        <f>IFERROR((COUNTIFS(I401:I1398,"5x",K401:K1398,"Short",L401:L1398,"Ganado")+(COUNTIFS(I401:I1398,"5x",K401:K1398,"Short",L401:L1398,"Break Even")))/(COUNTIFS(I401:I1398,"5x",K401:K1398,"Short")),"Sin Datos")</f>
        <v>Sin Datos</v>
      </c>
      <c r="V405" s="4" t="str">
        <f>IFERROR((COUNTIFS(I401:I1398,"5x",L401:L1398,"Ganado")+(COUNTIFS(I401:I1398,"5x",L401:L1398,"Break Even")))/(Q405),"Sin Datos")</f>
        <v>Sin Datos</v>
      </c>
      <c r="X405" s="27" t="str">
        <f>IFERROR((COUNTIFS(O401:O1398,"5x",P401:P1398,"Ida",R401:R1398,"Ganado"))/(COUNTIFS(O401:O1398,"5x",P401:P1398,"Ida")-(COUNTIFS(O401:O1398,"5x",P401:P1398,"Ida",R401:R1398,"Break Even"))),"Sin Datos")</f>
        <v>Sin Datos</v>
      </c>
      <c r="Y405" s="27" t="str">
        <f>IFERROR((COUNTIFS(O401:O1398,"5x",P401:P1398,"Vuelta",R401:R1398,"Ganado"))/(COUNTIFS(O401:O1398,"5x",P401:P1398,"Vuelta")-(COUNTIFS(O401:O1398,"5x",P401:P1398,"Vuelta",R401:R1398,"Break Even"))),"Sin Datos")</f>
        <v>Sin Datos</v>
      </c>
      <c r="Z405" s="27" t="str">
        <f>IFERROR((COUNTIFS(O401:O1398,"5x",Q401:Q1398,"Long",R401:R1398,"Ganado"))/(COUNTIFS(O401:O1398,"5x",Q401:Q1398,"Long")-(COUNTIFS(O401:O1398,"5x",Q401:Q1398,"Long",R401:R1398,"Break Even"))),"Sin Datos")</f>
        <v>Sin Datos</v>
      </c>
      <c r="AA405" s="27" t="str">
        <f>IFERROR((COUNTIFS(O401:O1398,"5x",Q401:Q1398,"Short",R401:R1398,"Ganado"))/(COUNTIFS(O401:O1398,"5x",Q401:Q1398,"Short")-(COUNTIFS(O401:O1398,"5x",Q401:Q1398,"Short",R401:R1398,"Break Even"))),"Sin Datos")</f>
        <v>Sin Datos</v>
      </c>
      <c r="AB405" s="4" t="str">
        <f>IFERROR((COUNTIFS(O401:O1398,"5x",R401:R1398,"Ganado"))/((W405)-(COUNTIFS(O401:O1398,"5x",R401:R1398,"Break Even"))),"Sin Datos")</f>
        <v>Sin Datos</v>
      </c>
      <c r="AD405" s="27" t="str">
        <f>IFERROR((COUNTIFS(U401:U1398,"5x",V401:V1398,"Ida",X401:X1398,"Ganado"))/(COUNTIFS(U401:U1398,"5x",V401:V1398,"Ida")),"Sin Datos")</f>
        <v>Sin Datos</v>
      </c>
      <c r="AE405" s="27" t="str">
        <f>IFERROR((COUNTIFS(U401:U1398,"5x",V401:V1398,"Vuelta",X401:X1398,"Ganado"))/(COUNTIFS(U401:U1398,"5x",V401:V1398,"Vuelta")),"Sin Datos")</f>
        <v>Sin Datos</v>
      </c>
      <c r="AF405" s="27" t="str">
        <f>IFERROR((COUNTIFS(U401:U1398,"5x",W401:W1398,"Long",X401:X1398,"Ganado"))/(COUNTIFS(U401:U1398,"5x",W401:W1398,"Long")),"Sin Datos")</f>
        <v>Sin Datos</v>
      </c>
      <c r="AG405" s="27" t="str">
        <f>IFERROR((COUNTIFS(U401:U1398,"5x",W401:W1398,"Short",X401:X1398,"Ganado"))/(COUNTIFS(U401:U1398,"5x",W401:W1398,"Short")),"Sin Datos")</f>
        <v>Sin Datos</v>
      </c>
      <c r="AH405" s="4" t="str">
        <f>IFERROR((COUNTIFS(U401:U1398,"5x",X401:X1398,"Ganado"))/(AC405),"Sin Datos")</f>
        <v>Sin Datos</v>
      </c>
    </row>
    <row r="406" spans="18:34" ht="15.75" x14ac:dyDescent="0.25">
      <c r="R406" s="27" t="str">
        <f>IFERROR((COUNTIFS(I401:I1398,"BatiBot",J401:J1398,"Ida",L401:L1398,"Ganado")+(COUNTIFS(I401:I1398,"BatiBot",J401:J1398,"Ida",L401:L1398,"Break Even")))/(COUNTIFS(I401:I1398,"BatiBot",J401:J1398,"Ida")),"Sin Datos")</f>
        <v>Sin Datos</v>
      </c>
      <c r="S406" s="27" t="str">
        <f>IFERROR((COUNTIFS(I401:I1398,"BatiBot",J401:J1398,"Vuelta",L401:L1398,"Ganado")+(COUNTIFS(I401:I1398,"BatiBot",J401:J1398,"Vuelta",L401:L1398,"Break Even")))/(COUNTIFS(I401:I1398,"BatiBot",J401:J1398,"Vuelta")),"Sin Datos")</f>
        <v>Sin Datos</v>
      </c>
      <c r="T406" s="27" t="str">
        <f>IFERROR((COUNTIFS(I401:I1398,"BatiBot",K401:K1398,"Long",L401:L1398,"Ganado")+(COUNTIFS(I401:I1398,"BatiBot",K401:K1398,"Long",L401:L1398,"Break Even")))/(COUNTIFS(I401:I1398,"BatiBot",K401:K1398,"Long")),"Sin Datos")</f>
        <v>Sin Datos</v>
      </c>
      <c r="U406" s="27" t="str">
        <f>IFERROR((COUNTIFS(I401:I1398,"BatiBot",K401:K1398,"Short",L401:L1398,"Ganado")+(COUNTIFS(I401:I1398,"BatiBot",K401:K1398,"Short",L401:L1398,"Break Even")))/(COUNTIFS(I401:I1398,"BatiBot",K401:K1398,"Short")),"Sin Datos")</f>
        <v>Sin Datos</v>
      </c>
      <c r="V406" s="4" t="str">
        <f>IFERROR((COUNTIFS(I401:I1398,"BatiBot",L401:L1398,"Ganado")+(COUNTIFS(I401:I1398,"BatiBot",L401:L1398,"Break Even")))/(Q406),"Sin Datos")</f>
        <v>Sin Datos</v>
      </c>
      <c r="X406" s="27" t="str">
        <f>IFERROR((COUNTIFS(O401:O1398,"BatiBot",P401:P1398,"Ida",R401:R1398,"Ganado"))/(COUNTIFS(O401:O1398,"BatiBot",P401:P1398,"Ida")-(COUNTIFS(O401:O1398,"BatiBot",P401:P1398,"Ida",R401:R1398,"Break Even"))),"Sin Datos")</f>
        <v>Sin Datos</v>
      </c>
      <c r="Y406" s="27" t="str">
        <f>IFERROR((COUNTIFS(O401:O1398,"BatiBot",P401:P1398,"Vuelta",R401:R1398,"Ganado"))/(COUNTIFS(O401:O1398,"BatiBot",P401:P1398,"Vuelta")-(COUNTIFS(O401:O1398,"BatiBot",P401:P1398,"Vuelta",R401:R1398,"Break Even"))),"Sin Datos")</f>
        <v>Sin Datos</v>
      </c>
      <c r="Z406" s="27" t="str">
        <f>IFERROR((COUNTIFS(O401:O1398,"BatiBot",Q401:Q1398,"Long",R401:R1398,"Ganado"))/(COUNTIFS(O401:O1398,"BatiBot",Q401:Q1398,"Long")-(COUNTIFS(O401:O1398,"BatiBot",Q401:Q1398,"Long",R401:R1398,"Break Even"))),"Sin Datos")</f>
        <v>Sin Datos</v>
      </c>
      <c r="AA406" s="27" t="str">
        <f>IFERROR((COUNTIFS(O401:O1398,"BatiBot",Q401:Q1398,"Short",R401:R1398,"Ganado"))/(COUNTIFS(O401:O1398,"BatiBot",Q401:Q1398,"Short")-(COUNTIFS(O401:O1398,"BatiBot",Q401:Q1398,"Short",R401:R1398,"Break Even"))),"Sin Datos")</f>
        <v>Sin Datos</v>
      </c>
      <c r="AB406" s="4" t="str">
        <f>IFERROR((COUNTIFS(O401:O1398,"BatiBot",R401:R1398,"Ganado"))/((W406)-(COUNTIFS(O401:O1398,"BatiBot",R401:R1398,"Break Even"))),"Sin Datos")</f>
        <v>Sin Datos</v>
      </c>
      <c r="AD406" s="27" t="str">
        <f>IFERROR((COUNTIFS(U401:U1398,"BatiBot",V401:V1398,"Ida",X401:X1398,"Ganado"))/(COUNTIFS(U401:U1398,"BatiBot",V401:V1398,"Ida")),"Sin Datos")</f>
        <v>Sin Datos</v>
      </c>
      <c r="AE406" s="27" t="str">
        <f>IFERROR((COUNTIFS(U401:U1398,"BatiBot",V401:V1398,"Vuelta",X401:X1398,"Ganado"))/(COUNTIFS(U401:U1398,"BatiBot",V401:V1398,"Vuelta")),"Sin Datos")</f>
        <v>Sin Datos</v>
      </c>
      <c r="AF406" s="27" t="str">
        <f>IFERROR((COUNTIFS(U401:U1398,"BatiBot",W401:W1398,"Long",X401:X1398,"Ganado"))/(COUNTIFS(U401:U1398,"BatiBot",W401:W1398,"Long")),"Sin Datos")</f>
        <v>Sin Datos</v>
      </c>
      <c r="AG406" s="27" t="str">
        <f>IFERROR((COUNTIFS(U401:U1398,"BatiBot",W401:W1398,"Short",X401:X1398,"Ganado"))/(COUNTIFS(U401:U1398,"BatiBot",W401:W1398,"Short")),"Sin Datos")</f>
        <v>Sin Datos</v>
      </c>
      <c r="AH406" s="4" t="str">
        <f>IFERROR((COUNTIFS(U401:U1398,"BatiBot",X401:X1398,"Ganado"))/(AC406),"Sin Datos")</f>
        <v>Sin Datos</v>
      </c>
    </row>
    <row r="407" spans="18:34" ht="15.75" x14ac:dyDescent="0.25">
      <c r="R407" s="27" t="str">
        <f>IFERROR((COUNTIFS(I401:I1398,"WolfiBot",J401:J1398,"Ida",L401:L1398,"Ganado")+(COUNTIFS(I401:I1398,"WolfiBot",J401:J1398,"Ida",L401:L1398,"Break Even")))/(COUNTIFS(I401:I1398,"WolfiBot",J401:J1398,"Ida")),"Sin Datos")</f>
        <v>Sin Datos</v>
      </c>
      <c r="S407" s="27" t="str">
        <f>IFERROR((COUNTIFS(I401:I1398,"WolfiBot",J401:J1398,"Vuelta",L401:L1398,"Ganado")+(COUNTIFS(I401:I1398,"WolfiBot",J401:J1398,"Vuelta",L401:L1398,"Break Even")))/(COUNTIFS(I401:I1398,"WolfiBot",J401:J1398,"Vuelta")),"Sin Datos")</f>
        <v>Sin Datos</v>
      </c>
      <c r="T407" s="27" t="str">
        <f>IFERROR((COUNTIFS(I401:I1398,"WolfiBot",K401:K1398,"Long",L401:L1398,"Ganado")+(COUNTIFS(I401:I1398,"WolfiBot",K401:K1398,"Long",L401:L1398,"Break Even")))/(COUNTIFS(I401:I1398,"WolfiBot",K401:K1398,"Long")),"Sin Datos")</f>
        <v>Sin Datos</v>
      </c>
      <c r="U407" s="27" t="str">
        <f>IFERROR((COUNTIFS(I401:I1398,"WolfiBot",K401:K1398,"Short",L401:L1398,"Ganado")+(COUNTIFS(I401:I1398,"WolfiBot",K401:K1398,"Short",L401:L1398,"Break Even")))/(COUNTIFS(I401:I1398,"WolfiBot",K401:K1398,"Short")),"Sin Datos")</f>
        <v>Sin Datos</v>
      </c>
      <c r="V407" s="4" t="str">
        <f>IFERROR((COUNTIFS(I401:I1398,"WolfiBot",L401:L1398,"Ganado")+(COUNTIFS(I401:I1398,"WolfiBot",L401:L1398,"Break Even")))/(Q407),"Sin Datos")</f>
        <v>Sin Datos</v>
      </c>
      <c r="X407" s="27" t="str">
        <f>IFERROR((COUNTIFS(O401:O1398,"WolfiBot",P401:P1398,"Ida",R401:R1398,"Ganado"))/(COUNTIFS(O401:O1398,"WolfiBot",P401:P1398,"Ida")-(COUNTIFS(O401:O1398,"WolfiBot",P401:P1398,"Ida",R401:R1398,"Break Even"))),"Sin Datos")</f>
        <v>Sin Datos</v>
      </c>
      <c r="Y407" s="27" t="str">
        <f>IFERROR((COUNTIFS(O401:O1398,"WolfiBot",P401:P1398,"Vuelta",R401:R1398,"Ganado"))/(COUNTIFS(O401:O1398,"WolfiBot",P401:P1398,"Vuelta")-(COUNTIFS(O401:O1398,"WolfiBot",P401:P1398,"Vuelta",R401:R1398,"Break Even"))),"Sin Datos")</f>
        <v>Sin Datos</v>
      </c>
      <c r="Z407" s="27" t="str">
        <f>IFERROR((COUNTIFS(O401:O1398,"WolfiBot",Q401:Q1398,"Long",R401:R1398,"Ganado"))/(COUNTIFS(O401:O1398,"WolfiBot",Q401:Q1398,"Long")-(COUNTIFS(O401:O1398,"WolfiBot",Q401:Q1398,"Long",R401:R1398,"Break Even"))),"Sin Datos")</f>
        <v>Sin Datos</v>
      </c>
      <c r="AA407" s="27" t="str">
        <f>IFERROR((COUNTIFS(O401:O1398,"WolfiBot",Q401:Q1398,"Short",R401:R1398,"Ganado"))/(COUNTIFS(O401:O1398,"WolfiBot",Q401:Q1398,"Short")-(COUNTIFS(O401:O1398,"WolfiBot",Q401:Q1398,"Short",R401:R1398,"Break Even"))),"Sin Datos")</f>
        <v>Sin Datos</v>
      </c>
      <c r="AB407" s="4" t="str">
        <f>IFERROR((COUNTIFS(O401:O1398,"WolfiBot",R401:R1398,"Ganado"))/((W407)-(COUNTIFS(O401:O1398,"WolfiBot",R401:R1398,"Break Even"))),"Sin Datos")</f>
        <v>Sin Datos</v>
      </c>
      <c r="AD407" s="27" t="str">
        <f>IFERROR((COUNTIFS(U401:U1398,"WolfiBot",V401:V1398,"Ida",X401:X1398,"Ganado"))/(COUNTIFS(U401:U1398,"WolfiBot",V401:V1398,"Ida")),"Sin Datos")</f>
        <v>Sin Datos</v>
      </c>
      <c r="AE407" s="27" t="str">
        <f>IFERROR((COUNTIFS(U401:U1398,"WolfiBot",V401:V1398,"Vuelta",X401:X1398,"Ganado"))/(COUNTIFS(U401:U1398,"WolfiBot",V401:V1398,"Vuelta")),"Sin Datos")</f>
        <v>Sin Datos</v>
      </c>
      <c r="AF407" s="27" t="str">
        <f>IFERROR((COUNTIFS(U401:U1398,"WolfiBot",W401:W1398,"Long",X401:X1398,"Ganado"))/(COUNTIFS(U401:U1398,"WolfiBot",W401:W1398,"Long")),"Sin Datos")</f>
        <v>Sin Datos</v>
      </c>
      <c r="AG407" s="27" t="str">
        <f>IFERROR((COUNTIFS(U401:U1398,"WolfiBot",W401:W1398,"Short",X401:X1398,"Ganado"))/(COUNTIFS(U401:U1398,"WolfiBot",W401:W1398,"Short")),"Sin Datos")</f>
        <v>Sin Datos</v>
      </c>
      <c r="AH407" s="4" t="str">
        <f>IFERROR((COUNTIFS(U401:U1398,"WolfiBot",X401:X1398,"Ganado"))/(AC407),"Sin Datos")</f>
        <v>Sin Datos</v>
      </c>
    </row>
    <row r="408" spans="18:34" ht="15.75" x14ac:dyDescent="0.25">
      <c r="R408" s="27" t="str">
        <f>IFERROR((COUNTIFS(I401:I1398,"CondorBot",J401:J1398,"Ida",L401:L1398,"Ganado")+(COUNTIFS(I401:I1398,"CondorBot",J401:J1398,"Ida",L401:L1398,"Break Even")))/(COUNTIFS(I401:I1398,"CondorBot",J401:J1398,"Ida")),"Sin Datos")</f>
        <v>Sin Datos</v>
      </c>
      <c r="S408" s="27" t="str">
        <f>IFERROR((COUNTIFS(I401:I1398,"CondorBot",J401:J1398,"Vuelta",L401:L1398,"Ganado")+(COUNTIFS(I401:I1398,"CondorBot",J401:J1398,"Vuelta",L401:L1398,"Break Even")))/(COUNTIFS(I401:I1398,"CondorBot",J401:J1398,"Vuelta")),"Sin Datos")</f>
        <v>Sin Datos</v>
      </c>
      <c r="T408" s="27" t="str">
        <f>IFERROR((COUNTIFS(I401:I1398,"CondorBot",K401:K1398,"Long",L401:L1398,"Ganado")+(COUNTIFS(I401:I1398,"CondorBot",K401:K1398,"Long",L401:L1398,"Break Even")))/(COUNTIFS(I401:I1398,"CondorBot",K401:K1398,"Long")),"Sin Datos")</f>
        <v>Sin Datos</v>
      </c>
      <c r="U408" s="27" t="str">
        <f>IFERROR((COUNTIFS(I401:I1398,"CondorBot",K401:K1398,"Short",L401:L1398,"Ganado")+(COUNTIFS(I401:I1398,"CondorBot",K401:K1398,"Short",L401:L1398,"Break Even")))/(COUNTIFS(I401:I1398,"CondorBot",K401:K1398,"Short")),"Sin Datos")</f>
        <v>Sin Datos</v>
      </c>
      <c r="V408" s="4" t="str">
        <f>IFERROR((COUNTIFS(I401:I1398,"CondorBot",L401:L1398,"Ganado")+(COUNTIFS(I401:I1398,"CondorBot",L401:L1398,"Break Even")))/(Q408),"Sin Datos")</f>
        <v>Sin Datos</v>
      </c>
      <c r="X408" s="27" t="str">
        <f>IFERROR((COUNTIFS(O401:O1398,"CondorBot",P401:P1398,"Ida",R401:R1398,"Ganado"))/(COUNTIFS(O401:O1398,"CondorBot",P401:P1398,"Ida")-(COUNTIFS(O401:O1398,"CondorBot",P401:P1398,"Ida",R401:R1398,"Break Even"))),"Sin Datos")</f>
        <v>Sin Datos</v>
      </c>
      <c r="Y408" s="27" t="str">
        <f>IFERROR((COUNTIFS(O401:O1398,"CondorBot",P401:P1398,"Vuelta",R401:R1398,"Ganado"))/(COUNTIFS(O401:O1398,"CondorBot",P401:P1398,"Vuelta")-(COUNTIFS(O401:O1398,"CondorBot",P401:P1398,"Vuelta",R401:R1398,"Break Even"))),"Sin Datos")</f>
        <v>Sin Datos</v>
      </c>
      <c r="Z408" s="27" t="str">
        <f>IFERROR((COUNTIFS(O401:O1398,"CondorBot",Q401:Q1398,"Long",R401:R1398,"Ganado"))/(COUNTIFS(O401:O1398,"CondorBot",Q401:Q1398,"Long")-(COUNTIFS(O401:O1398,"CondorBot",Q401:Q1398,"Long",R401:R1398,"Break Even"))),"Sin Datos")</f>
        <v>Sin Datos</v>
      </c>
      <c r="AA408" s="27" t="str">
        <f>IFERROR((COUNTIFS(O401:O1398,"CondorBot",Q401:Q1398,"Short",R401:R1398,"Ganado"))/(COUNTIFS(O401:O1398,"CondorBot",Q401:Q1398,"Short")-(COUNTIFS(O401:O1398,"CondorBot",Q401:Q1398,"Short",R401:R1398,"Break Even"))),"Sin Datos")</f>
        <v>Sin Datos</v>
      </c>
      <c r="AB408" s="4" t="str">
        <f>IFERROR((COUNTIFS(O401:O1398,"CondorBot",R401:R1398,"Ganado"))/((W408)-(COUNTIFS(O401:O1398,"CondorBot",R401:R1398,"Break Even"))),"Sin Datos")</f>
        <v>Sin Datos</v>
      </c>
      <c r="AD408" s="27" t="str">
        <f>IFERROR((COUNTIFS(U401:U1398,"CondorBot",V401:V1398,"Ida",X401:X1398,"Ganado"))/(COUNTIFS(U401:U1398,"CondorBot",V401:V1398,"Ida")),"Sin Datos")</f>
        <v>Sin Datos</v>
      </c>
      <c r="AE408" s="27" t="str">
        <f>IFERROR((COUNTIFS(U401:U1398,"CondorBot",V401:V1398,"Vuelta",X401:X1398,"Ganado"))/(COUNTIFS(U401:U1398,"CondorBot",V401:V1398,"Vuelta")),"Sin Datos")</f>
        <v>Sin Datos</v>
      </c>
      <c r="AF408" s="27" t="str">
        <f>IFERROR((COUNTIFS(U401:U1398,"CondorBot",W401:W1398,"Long",X401:X1398,"Ganado"))/(COUNTIFS(U401:U1398,"CondorBot",W401:W1398,"Long")),"Sin Datos")</f>
        <v>Sin Datos</v>
      </c>
      <c r="AG408" s="27" t="str">
        <f>IFERROR((COUNTIFS(U401:U1398,"CondorBot",W401:W1398,"Short",X401:X1398,"Ganado"))/(COUNTIFS(U401:U1398,"CondorBot",W401:W1398,"Short")),"Sin Datos")</f>
        <v>Sin Datos</v>
      </c>
      <c r="AH408" s="4" t="str">
        <f>IFERROR((COUNTIFS(U401:U1398,"CondorBot",X401:X1398,"Ganado"))/(AC408),"Sin Datos")</f>
        <v>Sin Datos</v>
      </c>
    </row>
    <row r="409" spans="18:34" ht="15.75" x14ac:dyDescent="0.25">
      <c r="R409" s="27" t="str">
        <f>IFERROR((COUNTIFS(I401:I1398,"Otras",J401:J1398,"Ida",L401:L1398,"Ganado")+(COUNTIFS(I401:I1398,"Otras",J401:J1398,"Ida",L401:L1398,"Break Even")))/(COUNTIFS(I401:I1398,"Otras",J401:J1398,"Ida")),"Sin Datos")</f>
        <v>Sin Datos</v>
      </c>
      <c r="S409" s="27" t="str">
        <f>IFERROR((COUNTIFS(I401:I1398,"Otras",J401:J1398,"Vuelta",L401:L1398,"Ganado")+(COUNTIFS(I401:I1398,"Otras",J401:J1398,"Vuelta",L401:L1398,"Break Even")))/(COUNTIFS(I401:I1398,"Otras",J401:J1398,"Vuelta")),"Sin Datos")</f>
        <v>Sin Datos</v>
      </c>
      <c r="T409" s="27" t="str">
        <f>IFERROR((COUNTIFS(I401:I1398,"Otras",K401:K1398,"Long",L401:L1398,"Ganado")+(COUNTIFS(I401:I1398,"Otras",K401:K1398,"Long",L401:L1398,"Break Even")))/(COUNTIFS(I401:I1398,"Otras",K401:K1398,"Long")),"Sin Datos")</f>
        <v>Sin Datos</v>
      </c>
      <c r="U409" s="27" t="str">
        <f>IFERROR((COUNTIFS(I401:I1398,"Otras",K401:K1398,"Short",L401:L1398,"Ganado")+(COUNTIFS(I401:I1398,"Otras",K401:K1398,"Short",L401:L1398,"Break Even")))/(COUNTIFS(I401:I1398,"Otras",K401:K1398,"Short")),"Sin Datos")</f>
        <v>Sin Datos</v>
      </c>
      <c r="V409" s="4" t="str">
        <f>IFERROR((COUNTIFS(I401:I1398,"Otras",L401:L1398,"Ganado")+(COUNTIFS(I401:I1398,"Otras",L401:L1398,"Break Even")))/(Q409),"Sin Datos")</f>
        <v>Sin Datos</v>
      </c>
      <c r="X409" s="27" t="str">
        <f>IFERROR((COUNTIFS(O401:O1398,"Otras",P401:P1398,"Ida",R401:R1398,"Ganado"))/(COUNTIFS(O401:O1398,"Otras",P401:P1398,"Ida")-(COUNTIFS(O401:O1398,"Otras",P401:P1398,"Ida",R401:R1398,"Break Even"))),"Sin Datos")</f>
        <v>Sin Datos</v>
      </c>
      <c r="Y409" s="27" t="str">
        <f>IFERROR((COUNTIFS(O401:O1398,"Otras",P401:P1398,"Vuelta",R401:R1398,"Ganado"))/(COUNTIFS(O401:O1398,"Otras",P401:P1398,"Vuelta")-(COUNTIFS(O401:O1398,"Otras",P401:P1398,"Vuelta",R401:R1398,"Break Even"))),"Sin Datos")</f>
        <v>Sin Datos</v>
      </c>
      <c r="Z409" s="27" t="str">
        <f>IFERROR((COUNTIFS(O401:O1398,"Otras",Q401:Q1398,"Long",R401:R1398,"Ganado"))/(COUNTIFS(O401:O1398,"Otras",Q401:Q1398,"Long")-(COUNTIFS(O401:O1398,"Otras",Q401:Q1398,"Long",R401:R1398,"Break Even"))),"Sin Datos")</f>
        <v>Sin Datos</v>
      </c>
      <c r="AA409" s="27" t="str">
        <f>IFERROR((COUNTIFS(O401:O1398,"Otras",Q401:Q1398,"Short",R401:R1398,"Ganado"))/(COUNTIFS(O401:O1398,"Otras",Q401:Q1398,"Short")-(COUNTIFS(O401:O1398,"Otras",Q401:Q1398,"Short",R401:R1398,"Break Even"))),"Sin Datos")</f>
        <v>Sin Datos</v>
      </c>
      <c r="AB409" s="4" t="str">
        <f>IFERROR((COUNTIFS(O401:O1398,"Otras",R401:R1398,"Ganado"))/((W409)-(COUNTIFS(O401:O1398,"Otras",R401:R1398,"Break Even"))),"Sin Datos")</f>
        <v>Sin Datos</v>
      </c>
      <c r="AD409" s="27" t="str">
        <f>IFERROR((COUNTIFS(U401:U1398,"Otras",V401:V1398,"Ida",X401:X1398,"Ganado"))/(COUNTIFS(U401:U1398,"Otras",V401:V1398,"Ida")),"Sin Datos")</f>
        <v>Sin Datos</v>
      </c>
      <c r="AE409" s="27" t="str">
        <f>IFERROR((COUNTIFS(U401:U1398,"Otras",V401:V1398,"Vuelta",X401:X1398,"Ganado"))/(COUNTIFS(U401:U1398,"Otras",V401:V1398,"Vuelta")),"Sin Datos")</f>
        <v>Sin Datos</v>
      </c>
      <c r="AF409" s="27" t="str">
        <f>IFERROR((COUNTIFS(U401:U1398,"Otras",W401:W1398,"Long",X401:X1398,"Ganado"))/(COUNTIFS(U401:U1398,"Otras",W401:W1398,"Long")),"Sin Datos")</f>
        <v>Sin Datos</v>
      </c>
      <c r="AG409" s="27" t="str">
        <f>IFERROR((COUNTIFS(U401:U1398,"Otras",W401:W1398,"Short",X401:X1398,"Ganado"))/(COUNTIFS(U401:U1398,"Otras",W401:W1398,"Short")),"Sin Datos")</f>
        <v>Sin Datos</v>
      </c>
      <c r="AH409" s="4" t="str">
        <f>IFERROR((COUNTIFS(U401:U1398,"Otras",X401:X1398,"Ganado"))/(AC409),"Sin Datos")</f>
        <v>Sin Datos</v>
      </c>
    </row>
    <row r="410" spans="18:34" ht="18.75" x14ac:dyDescent="0.25">
      <c r="R410" s="29" t="str">
        <f>IFERROR((COUNTIFS(J401:J1398,"Ida",L401:L1398,"Ganado")+(COUNTIFS(J401:J1398,"Ida",L401:L1398,"Break Even")))/(COUNTIFS(J401:J1398,"Ida")),"Sin Datos")</f>
        <v>Sin Datos</v>
      </c>
      <c r="S410" s="29" t="str">
        <f>IFERROR((COUNTIFS(J401:J1398,"Vuelta",L401:L1398,"Ganado")+(COUNTIFS(J401:J1398,"Vuelta",L401:L1398,"Break Even")))/(COUNTIFS(J401:J1398,"Vuelta")),"Sin Datos")</f>
        <v>Sin Datos</v>
      </c>
      <c r="T410" s="29" t="str">
        <f>IFERROR((COUNTIFS(K401:K1398,"Long",L401:L1398,"Ganado")+(COUNTIFS(K401:K1398,"Long",L401:L1398,"Break Even")))/(COUNTIFS(K401:K1398,"Long")),"Sin Datos")</f>
        <v>Sin Datos</v>
      </c>
      <c r="U410" s="29" t="str">
        <f>IFERROR((COUNTIFS(K401:K1398,"Short",L401:L1398,"Ganado")+(COUNTIFS(K401:K1398,"Short",L401:L1398,"Break Even")))/(COUNTIFS(K401:K1398,"Short")),"Sin Datos")</f>
        <v>Sin Datos</v>
      </c>
      <c r="V410" s="29" t="str">
        <f>IFERROR((COUNTIF(L401:L1398,"Ganado")+(COUNTIF(L401:L1398,"Break Even")))/(Q410),"Sin Datos")</f>
        <v>Sin Datos</v>
      </c>
      <c r="X410" s="29" t="str">
        <f>IFERROR((COUNTIFS(P401:P1398,"Ida",R401:R1398,"Ganado"))/(COUNTIFS(P401:P1398,"Ida")-(COUNTIFS(P401:P1398,"Ida",R401:R1398,"Break Even"))),"Sin Datos")</f>
        <v>Sin Datos</v>
      </c>
      <c r="Y410" s="29" t="str">
        <f>IFERROR((COUNTIFS(P401:P1398,"Vuelta",R401:R1398,"Ganado"))/(COUNTIFS(P401:P1398,"Vuelta")-(COUNTIFS(P401:P1398,"Vuelta",R401:R1398,"Break Even"))),"Sin Datos")</f>
        <v>Sin Datos</v>
      </c>
      <c r="Z410" s="29" t="str">
        <f>IFERROR((COUNTIFS(Q401:Q1398,"Long",R401:R1398,"Ganado"))/(COUNTIFS(Q401:Q1398,"Long")-(COUNTIFS(Q401:Q1398,"Long",R401:R1398,"Break Even"))),"Sin Datos")</f>
        <v>Sin Datos</v>
      </c>
      <c r="AA410" s="29" t="str">
        <f>IFERROR((COUNTIFS(Q401:Q1398,"Short",R401:R1398,"Ganado"))/(COUNTIFS(Q401:Q1398,"Short")-(COUNTIFS(Q401:Q1398,"Short",R401:R1398,"Break Even"))),"Sin Datos")</f>
        <v>Sin Datos</v>
      </c>
      <c r="AB410" s="29" t="str">
        <f>IFERROR((COUNTIF(R401:R1398,"Ganado"))/((W410)-(COUNTIF(R401:R1398,"Break Even"))),"Sin Datos")</f>
        <v>Sin Datos</v>
      </c>
      <c r="AD410" s="29" t="str">
        <f>IFERROR((COUNTIFS(V401:V1398,"Ida",X401:X1398,"Ganado"))/(COUNTIFS(V401:V1398,"Ida")),"Sin Datos")</f>
        <v>Sin Datos</v>
      </c>
      <c r="AE410" s="29" t="str">
        <f>IFERROR((COUNTIFS(V401:V1398,"Vuelta",X401:X1398,"Ganado"))/(COUNTIFS(V401:V1398,"Vuelta")),"Sin Datos")</f>
        <v>Sin Datos</v>
      </c>
      <c r="AF410" s="29" t="str">
        <f>IFERROR((COUNTIFS(W401:W1398,"Long",X401:X1398,"Ganado"))/(COUNTIFS(W401:W1398,"Long")),"Sin Datos")</f>
        <v>Sin Datos</v>
      </c>
      <c r="AG410" s="29" t="str">
        <f>IFERROR((COUNTIFS(W401:W1398,"Short",X401:X1398,"Ganado"))/(COUNTIFS(W401:W1398,"Short")),"Sin Datos")</f>
        <v>Sin Datos</v>
      </c>
      <c r="AH410" s="29" t="str">
        <f>IFERROR((COUNTIF(X401:X1398,"Ganado"))/(AC410),"Sin Datos")</f>
        <v>Sin Datos</v>
      </c>
    </row>
  </sheetData>
  <mergeCells count="4">
    <mergeCell ref="M13:N13"/>
    <mergeCell ref="R397:V398"/>
    <mergeCell ref="X397:AB398"/>
    <mergeCell ref="AD397:AH398"/>
  </mergeCells>
  <conditionalFormatting sqref="H2:H301">
    <cfRule type="containsText" dxfId="216" priority="28" operator="containsText" text="Short">
      <formula>NOT(ISERROR(SEARCH("Short",H2)))</formula>
    </cfRule>
    <cfRule type="containsText" dxfId="215" priority="29" operator="containsText" text="Long">
      <formula>NOT(ISERROR(SEARCH("Long",H2)))</formula>
    </cfRule>
  </conditionalFormatting>
  <conditionalFormatting sqref="I2:I301">
    <cfRule type="containsText" dxfId="214" priority="25" operator="containsText" text="Break Even">
      <formula>NOT(ISERROR(SEARCH("Break Even",I2)))</formula>
    </cfRule>
    <cfRule type="containsText" dxfId="213" priority="26" operator="containsText" text="Perdido">
      <formula>NOT(ISERROR(SEARCH("Perdido",I2)))</formula>
    </cfRule>
    <cfRule type="containsText" dxfId="212" priority="27" operator="containsText" text="Ganado">
      <formula>NOT(ISERROR(SEARCH("Ganado",I2)))</formula>
    </cfRule>
  </conditionalFormatting>
  <conditionalFormatting sqref="B8">
    <cfRule type="containsText" dxfId="211" priority="22" operator="containsText" text="Baja">
      <formula>NOT(ISERROR(SEARCH("Baja",B8)))</formula>
    </cfRule>
    <cfRule type="containsText" dxfId="210" priority="23" operator="containsText" text="Moderada">
      <formula>NOT(ISERROR(SEARCH("Moderada",B8)))</formula>
    </cfRule>
    <cfRule type="containsText" dxfId="209" priority="24" operator="containsText" text="Alta">
      <formula>NOT(ISERROR(SEARCH("Alta",B8)))</formula>
    </cfRule>
  </conditionalFormatting>
  <conditionalFormatting sqref="B13:B16">
    <cfRule type="cellIs" dxfId="208" priority="19" operator="between">
      <formula>0</formula>
      <formula>0.49</formula>
    </cfRule>
    <cfRule type="cellIs" dxfId="207" priority="20" operator="between">
      <formula>0.5</formula>
      <formula>0.65</formula>
    </cfRule>
    <cfRule type="cellIs" dxfId="206" priority="21" operator="between">
      <formula>0.66</formula>
      <formula>1</formula>
    </cfRule>
  </conditionalFormatting>
  <conditionalFormatting sqref="B17:B20">
    <cfRule type="cellIs" dxfId="205" priority="17" operator="lessThan">
      <formula>0</formula>
    </cfRule>
    <cfRule type="cellIs" dxfId="204" priority="18" operator="greaterThan">
      <formula>0</formula>
    </cfRule>
  </conditionalFormatting>
  <conditionalFormatting sqref="B2:B7">
    <cfRule type="cellIs" dxfId="203" priority="15" operator="lessThan">
      <formula>0</formula>
    </cfRule>
    <cfRule type="cellIs" dxfId="202" priority="16" operator="greaterThan">
      <formula>0</formula>
    </cfRule>
  </conditionalFormatting>
  <conditionalFormatting sqref="X401:AB410">
    <cfRule type="cellIs" dxfId="201" priority="12" operator="between">
      <formula>0.66</formula>
      <formula>1</formula>
    </cfRule>
    <cfRule type="cellIs" dxfId="200" priority="13" operator="between">
      <formula>0.5</formula>
      <formula>0.65</formula>
    </cfRule>
    <cfRule type="cellIs" dxfId="199" priority="14" operator="between">
      <formula>0</formula>
      <formula>0.49</formula>
    </cfRule>
  </conditionalFormatting>
  <conditionalFormatting sqref="R401:V410">
    <cfRule type="cellIs" dxfId="198" priority="9" operator="between">
      <formula>0.66</formula>
      <formula>1</formula>
    </cfRule>
    <cfRule type="cellIs" dxfId="197" priority="10" operator="between">
      <formula>0.5</formula>
      <formula>0.65</formula>
    </cfRule>
    <cfRule type="cellIs" dxfId="196" priority="11" operator="between">
      <formula>0</formula>
      <formula>0.49</formula>
    </cfRule>
  </conditionalFormatting>
  <conditionalFormatting sqref="AD401:AH410">
    <cfRule type="cellIs" dxfId="195" priority="6" operator="between">
      <formula>0.66</formula>
      <formula>1</formula>
    </cfRule>
    <cfRule type="cellIs" dxfId="194" priority="7" operator="between">
      <formula>0.5</formula>
      <formula>0.65</formula>
    </cfRule>
    <cfRule type="cellIs" dxfId="193" priority="8" operator="between">
      <formula>0</formula>
      <formula>0.49</formula>
    </cfRule>
  </conditionalFormatting>
  <conditionalFormatting sqref="O2:S11">
    <cfRule type="cellIs" dxfId="192" priority="3" operator="between">
      <formula>0.66</formula>
      <formula>1</formula>
    </cfRule>
    <cfRule type="cellIs" dxfId="191" priority="4" operator="between">
      <formula>0.5</formula>
      <formula>0.65</formula>
    </cfRule>
    <cfRule type="cellIs" dxfId="190" priority="5" operator="between">
      <formula>0</formula>
      <formula>0.49</formula>
    </cfRule>
  </conditionalFormatting>
  <conditionalFormatting sqref="J2:K301">
    <cfRule type="cellIs" dxfId="189" priority="1" operator="lessThan">
      <formula>0</formula>
    </cfRule>
    <cfRule type="cellIs" dxfId="188" priority="2" operator="greaterThan">
      <formula>0</formula>
    </cfRule>
  </conditionalFormatting>
  <dataValidations count="5">
    <dataValidation type="list" allowBlank="1" showInputMessage="1" showErrorMessage="1" sqref="B8" xr:uid="{00000000-0002-0000-0400-000000000000}">
      <formula1>"Alta,Moderada,Baja"</formula1>
    </dataValidation>
    <dataValidation type="list" allowBlank="1" showInputMessage="1" showErrorMessage="1" sqref="H2:H301" xr:uid="{00000000-0002-0000-0400-000001000000}">
      <formula1>"Long,Short"</formula1>
    </dataValidation>
    <dataValidation type="list" allowBlank="1" showInputMessage="1" showErrorMessage="1" sqref="E2:E301" xr:uid="{00000000-0002-0000-0400-000002000000}">
      <formula1>"1,2,3,4,5,6,7,8,9,10,11,12,13,14,15,16,17,18,19,20,21,22,23,24,25,26,27,28,29,30,31"</formula1>
    </dataValidation>
    <dataValidation type="list" allowBlank="1" showErrorMessage="1" promptTitle="Seleccione" prompt="Seleccione" sqref="G2:G301" xr:uid="{00000000-0002-0000-0400-000003000000}">
      <formula1>"Ida,Vuelta"</formula1>
    </dataValidation>
    <dataValidation type="list" allowBlank="1" showErrorMessage="1" promptTitle="Seleccione" prompt="Seleccione" sqref="F2:F301" xr:uid="{00000000-0002-0000-0400-000004000000}">
      <formula1>$M$2:$M$10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H410"/>
  <sheetViews>
    <sheetView zoomScaleNormal="100" workbookViewId="0">
      <selection activeCell="C1" sqref="C1"/>
    </sheetView>
  </sheetViews>
  <sheetFormatPr defaultColWidth="11.42578125" defaultRowHeight="15" x14ac:dyDescent="0.25"/>
  <cols>
    <col min="1" max="1" width="35.5703125" style="24" customWidth="1"/>
    <col min="2" max="2" width="12.28515625" style="24" bestFit="1" customWidth="1"/>
    <col min="3" max="3" width="4.42578125" style="24" customWidth="1"/>
    <col min="4" max="4" width="9.7109375" style="24" customWidth="1"/>
    <col min="5" max="5" width="9" style="24" customWidth="1"/>
    <col min="6" max="6" width="13" style="24" customWidth="1"/>
    <col min="7" max="7" width="10.7109375" style="24" customWidth="1"/>
    <col min="8" max="8" width="10.5703125" style="24" customWidth="1"/>
    <col min="9" max="9" width="12.5703125" style="24" customWidth="1"/>
    <col min="10" max="11" width="12.140625" style="24" customWidth="1"/>
    <col min="12" max="12" width="5" style="24" customWidth="1"/>
    <col min="13" max="13" width="19.85546875" style="24" customWidth="1"/>
    <col min="14" max="14" width="14.42578125" style="24" customWidth="1"/>
    <col min="15" max="15" width="13.28515625" style="24" customWidth="1"/>
    <col min="16" max="16" width="12" style="24" customWidth="1"/>
    <col min="17" max="17" width="13.42578125" style="24" customWidth="1"/>
    <col min="18" max="18" width="12" style="24" customWidth="1"/>
    <col min="19" max="19" width="18.5703125" style="24" customWidth="1"/>
    <col min="20" max="20" width="12.28515625" style="24" customWidth="1"/>
    <col min="21" max="21" width="12.42578125" style="24" customWidth="1"/>
    <col min="22" max="22" width="20.85546875" style="24" customWidth="1"/>
    <col min="23" max="16384" width="11.42578125" style="24"/>
  </cols>
  <sheetData>
    <row r="1" spans="1:19" ht="36" customHeight="1" x14ac:dyDescent="0.25">
      <c r="A1" s="7" t="s">
        <v>1</v>
      </c>
      <c r="B1" s="8"/>
      <c r="D1" s="13" t="s">
        <v>15</v>
      </c>
      <c r="E1" s="13" t="s">
        <v>13</v>
      </c>
      <c r="F1" s="13" t="s">
        <v>5</v>
      </c>
      <c r="G1" s="13" t="s">
        <v>21</v>
      </c>
      <c r="H1" s="13" t="s">
        <v>9</v>
      </c>
      <c r="I1" s="13" t="s">
        <v>11</v>
      </c>
      <c r="J1" s="13" t="s">
        <v>14</v>
      </c>
      <c r="K1" s="13" t="s">
        <v>44</v>
      </c>
      <c r="M1" s="25" t="s">
        <v>5</v>
      </c>
      <c r="N1" s="25" t="s">
        <v>3</v>
      </c>
      <c r="O1" s="25" t="s">
        <v>16</v>
      </c>
      <c r="P1" s="25" t="s">
        <v>17</v>
      </c>
      <c r="Q1" s="25" t="s">
        <v>7</v>
      </c>
      <c r="R1" s="25" t="s">
        <v>8</v>
      </c>
      <c r="S1" s="13" t="s">
        <v>0</v>
      </c>
    </row>
    <row r="2" spans="1:19" ht="15.75" x14ac:dyDescent="0.25">
      <c r="A2" s="2" t="s">
        <v>2</v>
      </c>
      <c r="B2" s="3">
        <f>SUM(B1,(SUM(J2:J999)))</f>
        <v>0</v>
      </c>
      <c r="D2" s="2">
        <v>1</v>
      </c>
      <c r="E2" s="6"/>
      <c r="F2" s="2"/>
      <c r="G2" s="2"/>
      <c r="H2" s="2"/>
      <c r="I2" s="2" t="str">
        <f>IF(J2="","",IF(J2&gt;3,"Ganado",IF(J2&lt;-3,"Perdido","Break Even")))</f>
        <v/>
      </c>
      <c r="J2" s="3"/>
      <c r="K2" s="5" t="str">
        <f>IFERROR(Tabla3479[[#This Row],[USD]]/$B$1,"")</f>
        <v/>
      </c>
      <c r="M2" s="26" t="s">
        <v>4</v>
      </c>
      <c r="N2" s="26">
        <f>COUNTIFS(F2:F999,"100x")</f>
        <v>0</v>
      </c>
      <c r="O2" s="27" t="str">
        <f>IFERROR((COUNTIFS(F2:F999,"100x",G2:G999,"Ida",I2:I999,"Ganado"))/(COUNTIFS(F2:F999,"100x",G2:G999,"Ida")),"Sin Datos")</f>
        <v>Sin Datos</v>
      </c>
      <c r="P2" s="27" t="str">
        <f>IFERROR((COUNTIFS(F2:F999,"100x",G2:G999,"Vuelta",I2:I999,"Ganado"))/(COUNTIFS(F2:F999,"100x",G2:G999,"Vuelta")),"Sin Datos")</f>
        <v>Sin Datos</v>
      </c>
      <c r="Q2" s="27" t="str">
        <f>IFERROR((COUNTIFS(F2:F999,"100x",H2:H999,"Long",I2:I999,"Ganado"))/(COUNTIFS(F2:F999,"100x",H2:H999,"Long")),"Sin Datos")</f>
        <v>Sin Datos</v>
      </c>
      <c r="R2" s="27" t="str">
        <f>IFERROR((COUNTIFS(F2:F999,"100x",H2:H999,"Short",I2:I999,"Ganado"))/(COUNTIFS(F2:F999,"100x",H2:H999,"Short")),"Sin Datos")</f>
        <v>Sin Datos</v>
      </c>
      <c r="S2" s="4" t="str">
        <f>IFERROR((COUNTIFS(F2:F999,"100x",I2:I999,"Ganado"))/(N2),"Sin Datos")</f>
        <v>Sin Datos</v>
      </c>
    </row>
    <row r="3" spans="1:19" ht="15.75" x14ac:dyDescent="0.25">
      <c r="A3" s="2" t="s">
        <v>45</v>
      </c>
      <c r="B3" s="3">
        <f>SUM(J2:J999)</f>
        <v>0</v>
      </c>
      <c r="D3" s="2">
        <v>2</v>
      </c>
      <c r="E3" s="6"/>
      <c r="F3" s="2"/>
      <c r="G3" s="2"/>
      <c r="H3" s="2"/>
      <c r="I3" s="2" t="str">
        <f t="shared" ref="I3:I66" si="0">IF(J3="","",IF(J3&gt;3,"Ganado",IF(J3&lt;-3,"Perdido","Break Even")))</f>
        <v/>
      </c>
      <c r="J3" s="3"/>
      <c r="K3" s="5" t="str">
        <f>IFERROR(Tabla3479[[#This Row],[USD]]/$B$1,"")</f>
        <v/>
      </c>
      <c r="M3" s="26" t="s">
        <v>22</v>
      </c>
      <c r="N3" s="2">
        <f>COUNTIFS(F2:F999,"50x")</f>
        <v>0</v>
      </c>
      <c r="O3" s="27" t="str">
        <f>IFERROR((COUNTIFS(F2:F999,"50x",G2:G999,"Ida",I2:I999,"Ganado"))/(COUNTIFS(F2:F999,"50x",G2:G999,"Ida")),"Sin Datos")</f>
        <v>Sin Datos</v>
      </c>
      <c r="P3" s="27" t="str">
        <f>IFERROR((COUNTIFS(F2:F999,"50x",G2:G999,"Vuelta",I2:I999,"Ganado"))/(COUNTIFS(F2:F999,"50x",G2:G999,"Vuelta")),"Sin Datos")</f>
        <v>Sin Datos</v>
      </c>
      <c r="Q3" s="27" t="str">
        <f>IFERROR((COUNTIFS(F2:F999,"50x",H2:H999,"Long",I2:I999,"Ganado"))/(COUNTIFS(F2:F999,"50x",H2:H999,"Long")),"Sin Datos")</f>
        <v>Sin Datos</v>
      </c>
      <c r="R3" s="27" t="str">
        <f>IFERROR((COUNTIFS(F2:F999,"50x",H2:H999,"Short",I2:I999,"Ganado"))/(COUNTIFS(F2:F999,"50x",H2:H999,"Short")),"Sin Datos")</f>
        <v>Sin Datos</v>
      </c>
      <c r="S3" s="4" t="str">
        <f>IFERROR((COUNTIFS(F2:F999,"50x",I2:I999,"Ganado"))/(N3),"Sin Datos")</f>
        <v>Sin Datos</v>
      </c>
    </row>
    <row r="4" spans="1:19" ht="15.75" x14ac:dyDescent="0.25">
      <c r="A4" s="2" t="s">
        <v>43</v>
      </c>
      <c r="B4" s="3">
        <f>SUM(SUMIFS(J2:J999,F2:F999,"100x"),SUMIFS(J2:J999,F2:F999,"50x"),SUMIFS(J2:J999,F2:F999,"25x"),SUMIFS(J2:J999,F2:F999,"10x"),SUMIFS(J2:J999,F2:F999,"5x"))</f>
        <v>0</v>
      </c>
      <c r="D4" s="2">
        <v>3</v>
      </c>
      <c r="E4" s="6"/>
      <c r="F4" s="2"/>
      <c r="G4" s="2"/>
      <c r="H4" s="2"/>
      <c r="I4" s="2" t="str">
        <f t="shared" si="0"/>
        <v/>
      </c>
      <c r="J4" s="3"/>
      <c r="K4" s="5" t="str">
        <f>IFERROR(Tabla3479[[#This Row],[USD]]/$B$1,"")</f>
        <v/>
      </c>
      <c r="M4" s="26" t="s">
        <v>23</v>
      </c>
      <c r="N4" s="26">
        <f>COUNTIFS(F2:F999,"25x")</f>
        <v>0</v>
      </c>
      <c r="O4" s="27" t="str">
        <f>IFERROR((COUNTIFS(F2:F999,"25x",G2:G999,"Ida",I2:I999,"Ganado"))/(COUNTIFS(F2:F999,"25x",G2:G999,"Ida")),"Sin Datos")</f>
        <v>Sin Datos</v>
      </c>
      <c r="P4" s="27" t="str">
        <f>IFERROR((COUNTIFS(F2:F999,"25x",G2:G999,"Vuelta",I2:I999,"Ganado"))/(COUNTIFS(F2:F999,"25x",G2:G999,"Vuelta")),"Sin Datos")</f>
        <v>Sin Datos</v>
      </c>
      <c r="Q4" s="27" t="str">
        <f>IFERROR((COUNTIFS(F2:F999,"25x",H2:H999,"Long",I2:I999,"Ganado"))/(COUNTIFS(F2:F999,"25x",H2:H999,"Long")),"Sin Datos")</f>
        <v>Sin Datos</v>
      </c>
      <c r="R4" s="27" t="str">
        <f>IFERROR((COUNTIFS(F2:F999,"25x",H2:H999,"Short",I2:I999,"Ganado"))/(COUNTIFS(F2:F999,"25x",H2:H999,"Short")),"Sin Datos")</f>
        <v>Sin Datos</v>
      </c>
      <c r="S4" s="4" t="str">
        <f>IFERROR((COUNTIFS(F2:F999,"25x",I2:I999,"Ganado"))/(N4),"Sin Datos")</f>
        <v>Sin Datos</v>
      </c>
    </row>
    <row r="5" spans="1:19" ht="15.75" x14ac:dyDescent="0.25">
      <c r="A5" s="2" t="s">
        <v>42</v>
      </c>
      <c r="B5" s="3">
        <f>SUM(SUMIFS(J2:J999,F2:F999,"BatiBot"),SUMIFS(J2:J999,F2:F999,"WolfiBot"),SUMIFS(J2:J999,F2:F999,"CondorBot"))</f>
        <v>0</v>
      </c>
      <c r="D5" s="2">
        <v>4</v>
      </c>
      <c r="E5" s="6"/>
      <c r="F5" s="2"/>
      <c r="G5" s="2"/>
      <c r="H5" s="2"/>
      <c r="I5" s="2" t="str">
        <f t="shared" si="0"/>
        <v/>
      </c>
      <c r="J5" s="3"/>
      <c r="K5" s="5" t="str">
        <f>IFERROR(Tabla3479[[#This Row],[USD]]/$B$1,"")</f>
        <v/>
      </c>
      <c r="M5" s="2" t="s">
        <v>24</v>
      </c>
      <c r="N5" s="2">
        <f>COUNTIFS(F2:F999,"10x")</f>
        <v>0</v>
      </c>
      <c r="O5" s="27" t="str">
        <f>IFERROR((COUNTIFS(F2:F999,"10x",G2:G999,"Ida",I2:I999,"Ganado"))/(COUNTIFS(F2:F999,"10x",G2:G999,"Ida")),"Sin Datos")</f>
        <v>Sin Datos</v>
      </c>
      <c r="P5" s="27" t="str">
        <f>IFERROR((COUNTIFS(F2:F999,"10x",G2:G999,"Vuelta",I2:I999,"Ganado"))/(COUNTIFS(F2:F999,"10x",G2:G999,"Vuelta")),"Sin Datos")</f>
        <v>Sin Datos</v>
      </c>
      <c r="Q5" s="27" t="str">
        <f>IFERROR((COUNTIFS(F2:F999,"10x",H2:H999,"Long",I2:I999,"Ganado"))/(COUNTIFS(F2:F999,"10x",H2:H999,"Long")),"Sin Datos")</f>
        <v>Sin Datos</v>
      </c>
      <c r="R5" s="27" t="str">
        <f>IFERROR((COUNTIFS(F2:F999,"10x",H2:H999,"Short",I2:I999,"Ganado"))/(COUNTIFS(F2:F999,"10x",H2:H999,"Short")),"Sin Datos")</f>
        <v>Sin Datos</v>
      </c>
      <c r="S5" s="4" t="str">
        <f>IFERROR((COUNTIFS(F2:F999,"10x",I2:I999,"Ganado"))/(N5),"Sin Datos")</f>
        <v>Sin Datos</v>
      </c>
    </row>
    <row r="6" spans="1:19" ht="15.75" x14ac:dyDescent="0.25">
      <c r="A6" s="2" t="s">
        <v>41</v>
      </c>
      <c r="B6" s="3">
        <f>SUMIFS(J2:J999,F2:F999,"Otras")</f>
        <v>0</v>
      </c>
      <c r="D6" s="2">
        <v>5</v>
      </c>
      <c r="E6" s="6"/>
      <c r="F6" s="2"/>
      <c r="G6" s="2"/>
      <c r="H6" s="2"/>
      <c r="I6" s="2" t="str">
        <f t="shared" si="0"/>
        <v/>
      </c>
      <c r="J6" s="3"/>
      <c r="K6" s="5" t="str">
        <f>IFERROR(Tabla3479[[#This Row],[USD]]/$B$1,"")</f>
        <v/>
      </c>
      <c r="M6" s="2" t="s">
        <v>33</v>
      </c>
      <c r="N6" s="6">
        <f>COUNTIFS(F2:F999,"5x")</f>
        <v>0</v>
      </c>
      <c r="O6" s="27" t="str">
        <f>IFERROR((COUNTIFS(F2:F999,"5x",G2:G999,"Ida",I2:I999,"Ganado"))/(COUNTIFS(F2:F999,"5x",G2:G999,"Ida")),"Sin Datos")</f>
        <v>Sin Datos</v>
      </c>
      <c r="P6" s="27" t="str">
        <f>IFERROR((COUNTIFS(F2:F999,"5x",G2:G999,"Vuelta",I2:I999,"Ganado"))/(COUNTIFS(F2:F999,"5x",G2:G999,"Vuelta")),"Sin Datos")</f>
        <v>Sin Datos</v>
      </c>
      <c r="Q6" s="27" t="str">
        <f>IFERROR((COUNTIFS(F2:F999,"5x",H2:H999,"Long",I2:I999,"Ganado"))/(COUNTIFS(F2:F999,"5x",H2:H999,"Long")),"Sin Datos")</f>
        <v>Sin Datos</v>
      </c>
      <c r="R6" s="27" t="str">
        <f>IFERROR((COUNTIFS(F2:F999,"5x",H2:H999,"Short",I2:I999,"Ganado"))/(COUNTIFS(F2:F999,"5x",H2:H999,"Short")),"Sin Datos")</f>
        <v>Sin Datos</v>
      </c>
      <c r="S6" s="4" t="str">
        <f>IFERROR((COUNTIFS(F2:F999,"5x",I2:I999,"Ganado"))/(N6),"Sin Datos")</f>
        <v>Sin Datos</v>
      </c>
    </row>
    <row r="7" spans="1:19" ht="15.75" x14ac:dyDescent="0.25">
      <c r="A7" s="2" t="s">
        <v>40</v>
      </c>
      <c r="B7" s="3">
        <f>IFERROR((B3/SUM(IF(FREQUENCY(E2:E999,E2:E999),1))),0)</f>
        <v>0</v>
      </c>
      <c r="D7" s="2">
        <v>6</v>
      </c>
      <c r="E7" s="6"/>
      <c r="F7" s="2"/>
      <c r="G7" s="2"/>
      <c r="H7" s="2"/>
      <c r="I7" s="2" t="str">
        <f t="shared" si="0"/>
        <v/>
      </c>
      <c r="J7" s="3"/>
      <c r="K7" s="5" t="str">
        <f>IFERROR(Tabla3479[[#This Row],[USD]]/$B$1,"")</f>
        <v/>
      </c>
      <c r="M7" s="26" t="s">
        <v>19</v>
      </c>
      <c r="N7" s="26">
        <f>COUNTIFS(F2:F999,"BatiBot")</f>
        <v>0</v>
      </c>
      <c r="O7" s="27" t="str">
        <f>IFERROR((COUNTIFS(F2:F999,"BatiBot",G2:G999,"Ida",I2:I999,"Ganado"))/(COUNTIFS(F2:F999,"BatiBot",G2:G999,"Ida")),"Sin Datos")</f>
        <v>Sin Datos</v>
      </c>
      <c r="P7" s="27" t="str">
        <f>IFERROR((COUNTIFS(F2:F999,"BatiBot",G2:G999,"Vuelta",I2:I999,"Ganado"))/(COUNTIFS(F2:F999,"BatiBot",G2:G999,"Vuelta")),"Sin Datos")</f>
        <v>Sin Datos</v>
      </c>
      <c r="Q7" s="27" t="str">
        <f>IFERROR((COUNTIFS(F2:F999,"BatiBot",H2:H999,"Long",I2:I999,"Ganado"))/(COUNTIFS(F2:F999,"BatiBot",H2:H999,"Long")),"Sin Datos")</f>
        <v>Sin Datos</v>
      </c>
      <c r="R7" s="27" t="str">
        <f>IFERROR((COUNTIFS(F2:F999,"BatiBot",H2:H999,"Short",I2:I999,"Ganado"))/(COUNTIFS(F2:F999,"BatiBot",H2:H999,"Short")),"Sin Datos")</f>
        <v>Sin Datos</v>
      </c>
      <c r="S7" s="4" t="str">
        <f>IFERROR((COUNTIFS(F2:F999,"BatiBot",I2:I999,"Ganado"))/(N7),"Sin Datos")</f>
        <v>Sin Datos</v>
      </c>
    </row>
    <row r="8" spans="1:19" ht="15.75" x14ac:dyDescent="0.25">
      <c r="A8" s="2" t="s">
        <v>20</v>
      </c>
      <c r="B8" s="2"/>
      <c r="D8" s="2">
        <v>7</v>
      </c>
      <c r="E8" s="6"/>
      <c r="F8" s="2"/>
      <c r="G8" s="2"/>
      <c r="H8" s="2"/>
      <c r="I8" s="2" t="str">
        <f t="shared" si="0"/>
        <v/>
      </c>
      <c r="J8" s="3"/>
      <c r="K8" s="5" t="str">
        <f>IFERROR(Tabla3479[[#This Row],[USD]]/$B$1,"")</f>
        <v/>
      </c>
      <c r="M8" s="2" t="s">
        <v>18</v>
      </c>
      <c r="N8" s="2">
        <f>COUNTIFS(F2:F999,"WolfiBot")</f>
        <v>0</v>
      </c>
      <c r="O8" s="27" t="str">
        <f>IFERROR((COUNTIFS(F2:F999,"WolfiBot",G2:G999,"Ida",I2:I999,"Ganado"))/(COUNTIFS(F2:F999,"WolfiBot",G2:G999,"Ida")),"Sin Datos")</f>
        <v>Sin Datos</v>
      </c>
      <c r="P8" s="27" t="str">
        <f>IFERROR((COUNTIFS(F2:F999,"WolfiBot",G2:G999,"Vuelta",I2:I999,"Ganado"))/(COUNTIFS(F2:F999,"WolfiBot",G2:G999,"Vuelta")),"Sin Datos")</f>
        <v>Sin Datos</v>
      </c>
      <c r="Q8" s="27" t="str">
        <f>IFERROR((COUNTIFS(F2:F999,"WolfiBot",H2:H999,"Long",I2:I999,"Ganado"))/(COUNTIFS(F2:F999,"WolfiBot",H2:H999,"Long")),"Sin Datos")</f>
        <v>Sin Datos</v>
      </c>
      <c r="R8" s="27" t="str">
        <f>IFERROR((COUNTIFS(F2:F999,"WolfiBot",H2:H999,"Short",I2:I999,"Ganado"))/(COUNTIFS(F2:F999,"WolfiBot",H2:H999,"Short")),"Sin Datos")</f>
        <v>Sin Datos</v>
      </c>
      <c r="S8" s="4" t="str">
        <f>IFERROR((COUNTIFS(F2:F999,"WolfiBot",I2:I999,"Ganado"))/(N8),"Sin Datos")</f>
        <v>Sin Datos</v>
      </c>
    </row>
    <row r="9" spans="1:19" ht="15.75" x14ac:dyDescent="0.25">
      <c r="A9" s="2" t="s">
        <v>12</v>
      </c>
      <c r="B9" s="2">
        <f>N11</f>
        <v>0</v>
      </c>
      <c r="D9" s="2">
        <v>8</v>
      </c>
      <c r="E9" s="6"/>
      <c r="F9" s="2"/>
      <c r="G9" s="2"/>
      <c r="H9" s="2"/>
      <c r="I9" s="2" t="str">
        <f t="shared" si="0"/>
        <v/>
      </c>
      <c r="J9" s="3"/>
      <c r="K9" s="5" t="str">
        <f>IFERROR(Tabla3479[[#This Row],[USD]]/$B$1,"")</f>
        <v/>
      </c>
      <c r="M9" s="26" t="s">
        <v>25</v>
      </c>
      <c r="N9" s="2">
        <f>COUNTIFS(F2:F999,"CondorBot")</f>
        <v>0</v>
      </c>
      <c r="O9" s="27" t="str">
        <f>IFERROR((COUNTIFS(F2:F999,"CondorBot",G2:G999,"Ida",I2:I999,"Ganado"))/(COUNTIFS(F2:F999,"CondorBot",G2:G999,"Ida")),"Sin Datos")</f>
        <v>Sin Datos</v>
      </c>
      <c r="P9" s="27" t="str">
        <f>IFERROR((COUNTIFS(F2:F999,"CondorBot",G2:G999,"Vuelta",I2:I999,"Ganado"))/(COUNTIFS(F2:F999,"CondorBot",G2:G999,"Vuelta")),"Sin Datos")</f>
        <v>Sin Datos</v>
      </c>
      <c r="Q9" s="27" t="str">
        <f>IFERROR((COUNTIFS(F2:F999,"CondorBot",H2:H999,"Long",I2:I999,"Ganado"))/(COUNTIFS(F2:F999,"CondorBot",H2:H999,"Long")),"Sin Datos")</f>
        <v>Sin Datos</v>
      </c>
      <c r="R9" s="27" t="str">
        <f>IFERROR((COUNTIFS(F2:F999,"CondorBot",H2:H999,"Short",I2:I999,"Ganado"))/(COUNTIFS(F2:F999,"CondorBot",H2:H999,"Short")),"Sin Datos")</f>
        <v>Sin Datos</v>
      </c>
      <c r="S9" s="4" t="str">
        <f>IFERROR((COUNTIFS(F2:F999,"CondorBot",I2:I999,"Ganado"))/(N9),"Sin Datos")</f>
        <v>Sin Datos</v>
      </c>
    </row>
    <row r="10" spans="1:19" ht="15.75" x14ac:dyDescent="0.25">
      <c r="A10" s="2" t="s">
        <v>31</v>
      </c>
      <c r="B10" s="2">
        <f>SUM(N2:N6)</f>
        <v>0</v>
      </c>
      <c r="D10" s="2">
        <v>9</v>
      </c>
      <c r="E10" s="6"/>
      <c r="F10" s="2"/>
      <c r="G10" s="2"/>
      <c r="H10" s="2"/>
      <c r="I10" s="2" t="str">
        <f t="shared" si="0"/>
        <v/>
      </c>
      <c r="J10" s="3"/>
      <c r="K10" s="5" t="str">
        <f>IFERROR(Tabla3479[[#This Row],[USD]]/$B$1,"")</f>
        <v/>
      </c>
      <c r="M10" s="26" t="s">
        <v>34</v>
      </c>
      <c r="N10" s="6">
        <f>COUNTIFS(F2:F999,"Otras")</f>
        <v>0</v>
      </c>
      <c r="O10" s="27" t="str">
        <f>IFERROR((COUNTIFS(F2:F999,"Otras",G2:G999,"Ida",I2:I999,"Ganado"))/(COUNTIFS(F2:F999,"Otras",G2:G999,"Ida")),"Sin Datos")</f>
        <v>Sin Datos</v>
      </c>
      <c r="P10" s="27" t="str">
        <f>IFERROR((COUNTIFS(F2:F999,"Otras",G2:G999,"Vuelta",I2:I999,"Ganado"))/(COUNTIFS(F2:F999,"Otras",G2:G999,"Vuelta")),"Sin Datos")</f>
        <v>Sin Datos</v>
      </c>
      <c r="Q10" s="27" t="str">
        <f>IFERROR((COUNTIFS(F2:F999,"Otras",H2:H999,"Long",I2:I999,"Ganado"))/(COUNTIFS(F2:F999,"Otras",H2:H999,"Long")),"Sin Datos")</f>
        <v>Sin Datos</v>
      </c>
      <c r="R10" s="27" t="str">
        <f>IFERROR((COUNTIFS(F2:F999,"Otras",H2:H999,"Short",I2:I999,"Ganado"))/(COUNTIFS(F2:F999,"Otras",H2:H999,"Short")),"Sin Datos")</f>
        <v>Sin Datos</v>
      </c>
      <c r="S10" s="4" t="str">
        <f>IFERROR((COUNTIFS(F2:F999,"Otras",I2:I999,"Ganado"))/(N10),"Sin Datos")</f>
        <v>Sin Datos</v>
      </c>
    </row>
    <row r="11" spans="1:19" ht="18.75" x14ac:dyDescent="0.25">
      <c r="A11" s="2" t="s">
        <v>32</v>
      </c>
      <c r="B11" s="2">
        <f>SUM(N7:N9)</f>
        <v>0</v>
      </c>
      <c r="D11" s="2">
        <v>10</v>
      </c>
      <c r="E11" s="6"/>
      <c r="F11" s="2"/>
      <c r="G11" s="2"/>
      <c r="H11" s="2"/>
      <c r="I11" s="2" t="str">
        <f t="shared" si="0"/>
        <v/>
      </c>
      <c r="J11" s="3"/>
      <c r="K11" s="5" t="str">
        <f>IFERROR(Tabla3479[[#This Row],[USD]]/$B$1,"")</f>
        <v/>
      </c>
      <c r="M11" s="28" t="s">
        <v>6</v>
      </c>
      <c r="N11" s="28">
        <f>COUNT(J2:J999)</f>
        <v>0</v>
      </c>
      <c r="O11" s="29" t="str">
        <f>IFERROR((COUNTIFS(G2:G999,"Ida",I2:I999,"Ganado"))/(COUNTIFS(G2:G999,"Ida")),"Sin Datos")</f>
        <v>Sin Datos</v>
      </c>
      <c r="P11" s="29" t="str">
        <f>IFERROR((COUNTIFS(G2:G999,"Vuelta",I2:I999,"Ganado"))/(COUNTIFS(G2:G999,"Vuelta")),"Sin Datos")</f>
        <v>Sin Datos</v>
      </c>
      <c r="Q11" s="29" t="str">
        <f>IFERROR((COUNTIFS(H2:H999,"Long",I2:I999,"Ganado"))/(COUNTIFS(H2:H999,"Long")),"Sin Datos")</f>
        <v>Sin Datos</v>
      </c>
      <c r="R11" s="29" t="str">
        <f>IFERROR((COUNTIFS(H2:H999,"Short",I2:I999,"Ganado"))/(COUNTIFS(H2:H999,"Short")),"Sin Datos")</f>
        <v>Sin Datos</v>
      </c>
      <c r="S11" s="29" t="str">
        <f>IFERROR((COUNTIF(I2:I999,"Ganado"))/(N11),"Sin Datos")</f>
        <v>Sin Datos</v>
      </c>
    </row>
    <row r="12" spans="1:19" ht="15.75" x14ac:dyDescent="0.25">
      <c r="A12" s="2" t="s">
        <v>36</v>
      </c>
      <c r="B12" s="2">
        <f>N10</f>
        <v>0</v>
      </c>
      <c r="D12" s="2">
        <v>11</v>
      </c>
      <c r="E12" s="6"/>
      <c r="F12" s="2"/>
      <c r="G12" s="2"/>
      <c r="H12" s="2"/>
      <c r="I12" s="2" t="str">
        <f t="shared" si="0"/>
        <v/>
      </c>
      <c r="J12" s="3"/>
      <c r="K12" s="5" t="str">
        <f>IFERROR(Tabla3479[[#This Row],[USD]]/$B$1,"")</f>
        <v/>
      </c>
    </row>
    <row r="13" spans="1:19" ht="15.75" x14ac:dyDescent="0.25">
      <c r="A13" s="2" t="s">
        <v>10</v>
      </c>
      <c r="B13" s="4" t="str">
        <f>S11</f>
        <v>Sin Datos</v>
      </c>
      <c r="D13" s="2">
        <v>12</v>
      </c>
      <c r="E13" s="6"/>
      <c r="F13" s="2"/>
      <c r="G13" s="2"/>
      <c r="H13" s="2"/>
      <c r="I13" s="2" t="str">
        <f t="shared" si="0"/>
        <v/>
      </c>
      <c r="J13" s="3"/>
      <c r="K13" s="5" t="str">
        <f>IFERROR(Tabla3479[[#This Row],[USD]]/$B$1,"")</f>
        <v/>
      </c>
      <c r="M13" s="85" t="s">
        <v>38</v>
      </c>
      <c r="N13" s="85"/>
      <c r="O13" s="1"/>
      <c r="R13" s="30"/>
    </row>
    <row r="14" spans="1:19" ht="15.75" x14ac:dyDescent="0.25">
      <c r="A14" s="2" t="s">
        <v>29</v>
      </c>
      <c r="B14" s="4" t="str">
        <f>IFERROR(AVERAGE(S2:S6),"Sin Datos")</f>
        <v>Sin Datos</v>
      </c>
      <c r="D14" s="2">
        <v>13</v>
      </c>
      <c r="E14" s="6"/>
      <c r="F14" s="2"/>
      <c r="G14" s="2"/>
      <c r="H14" s="2"/>
      <c r="I14" s="2" t="str">
        <f t="shared" si="0"/>
        <v/>
      </c>
      <c r="J14" s="3"/>
      <c r="K14" s="5" t="str">
        <f>IFERROR(Tabla3479[[#This Row],[USD]]/$B$1,"")</f>
        <v/>
      </c>
      <c r="M14" s="2" t="s">
        <v>39</v>
      </c>
      <c r="N14" s="2"/>
      <c r="O14" s="1"/>
    </row>
    <row r="15" spans="1:19" ht="15.75" x14ac:dyDescent="0.25">
      <c r="A15" s="2" t="s">
        <v>30</v>
      </c>
      <c r="B15" s="4" t="str">
        <f>IFERROR(AVERAGE(S7:S9),"Sin Datos")</f>
        <v>Sin Datos</v>
      </c>
      <c r="D15" s="2">
        <v>14</v>
      </c>
      <c r="E15" s="6"/>
      <c r="F15" s="2"/>
      <c r="G15" s="2"/>
      <c r="H15" s="2"/>
      <c r="I15" s="2" t="str">
        <f t="shared" si="0"/>
        <v/>
      </c>
      <c r="J15" s="3"/>
      <c r="K15" s="5" t="str">
        <f>IFERROR(Tabla3479[[#This Row],[USD]]/$B$1,"")</f>
        <v/>
      </c>
      <c r="M15" s="2" t="s">
        <v>37</v>
      </c>
      <c r="N15" s="2"/>
      <c r="O15" s="1"/>
    </row>
    <row r="16" spans="1:19" ht="15.75" x14ac:dyDescent="0.25">
      <c r="A16" s="2" t="s">
        <v>35</v>
      </c>
      <c r="B16" s="4" t="str">
        <f>S10</f>
        <v>Sin Datos</v>
      </c>
      <c r="D16" s="2">
        <v>15</v>
      </c>
      <c r="E16" s="6"/>
      <c r="F16" s="2"/>
      <c r="G16" s="2"/>
      <c r="H16" s="2"/>
      <c r="I16" s="2" t="str">
        <f t="shared" si="0"/>
        <v/>
      </c>
      <c r="J16" s="3"/>
      <c r="K16" s="5" t="str">
        <f>IFERROR(Tabla3479[[#This Row],[USD]]/$B$1,"")</f>
        <v/>
      </c>
      <c r="M16" s="2" t="s">
        <v>11</v>
      </c>
      <c r="N16" s="2">
        <f>(N15*N14)</f>
        <v>0</v>
      </c>
      <c r="O16" s="1"/>
    </row>
    <row r="17" spans="1:11" ht="15.75" x14ac:dyDescent="0.25">
      <c r="A17" s="2" t="s">
        <v>46</v>
      </c>
      <c r="B17" s="5">
        <f>AVERAGE(SUM(K2:K999))</f>
        <v>0</v>
      </c>
      <c r="D17" s="2">
        <v>16</v>
      </c>
      <c r="E17" s="6"/>
      <c r="F17" s="2"/>
      <c r="G17" s="2"/>
      <c r="H17" s="2"/>
      <c r="I17" s="2" t="str">
        <f t="shared" si="0"/>
        <v/>
      </c>
      <c r="J17" s="3"/>
      <c r="K17" s="5" t="str">
        <f>IFERROR(Tabla3479[[#This Row],[USD]]/$B$1,"")</f>
        <v/>
      </c>
    </row>
    <row r="18" spans="1:11" ht="15.75" x14ac:dyDescent="0.25">
      <c r="A18" s="2" t="s">
        <v>47</v>
      </c>
      <c r="B18" s="5">
        <f>SUM(SUMIFS(K2:K999,F2:F999,"100x"),SUMIFS(K2:K999,F2:F999,"50x"),SUMIFS(K2:K999,F2:F999,"25x"),SUMIFS(K2:K999,F2:F999,"10x"),SUMIFS(K2:K999,F2:F999,"5x"))</f>
        <v>0</v>
      </c>
      <c r="D18" s="2">
        <v>17</v>
      </c>
      <c r="E18" s="6"/>
      <c r="F18" s="2"/>
      <c r="G18" s="2"/>
      <c r="H18" s="2"/>
      <c r="I18" s="2" t="str">
        <f t="shared" si="0"/>
        <v/>
      </c>
      <c r="J18" s="3"/>
      <c r="K18" s="5" t="str">
        <f>IFERROR(Tabla3479[[#This Row],[USD]]/$B$1,"")</f>
        <v/>
      </c>
    </row>
    <row r="19" spans="1:11" ht="15.75" x14ac:dyDescent="0.25">
      <c r="A19" s="2" t="s">
        <v>48</v>
      </c>
      <c r="B19" s="5">
        <f>SUM(SUMIFS(K2:K999,F2:F999,"BatiBot"),SUMIFS(K2:K999,F2:F999,"WolfiBot"),SUMIFS(K2:K999,F2:F999,"CondorBot"))</f>
        <v>0</v>
      </c>
      <c r="D19" s="2">
        <v>18</v>
      </c>
      <c r="E19" s="6"/>
      <c r="F19" s="2"/>
      <c r="G19" s="2"/>
      <c r="H19" s="2"/>
      <c r="I19" s="2" t="str">
        <f t="shared" si="0"/>
        <v/>
      </c>
      <c r="J19" s="3"/>
      <c r="K19" s="5" t="str">
        <f>IFERROR(Tabla3479[[#This Row],[USD]]/$B$1,"")</f>
        <v/>
      </c>
    </row>
    <row r="20" spans="1:11" ht="15.75" x14ac:dyDescent="0.25">
      <c r="A20" s="2" t="s">
        <v>49</v>
      </c>
      <c r="B20" s="5">
        <f>SUMIFS(K2:K999,F2:F999,"Otras")</f>
        <v>0</v>
      </c>
      <c r="D20" s="2">
        <v>19</v>
      </c>
      <c r="E20" s="6"/>
      <c r="F20" s="2"/>
      <c r="G20" s="2"/>
      <c r="H20" s="2"/>
      <c r="I20" s="2" t="str">
        <f t="shared" si="0"/>
        <v/>
      </c>
      <c r="J20" s="3"/>
      <c r="K20" s="5" t="str">
        <f>IFERROR(Tabla3479[[#This Row],[USD]]/$B$1,"")</f>
        <v/>
      </c>
    </row>
    <row r="21" spans="1:11" ht="15.75" x14ac:dyDescent="0.25">
      <c r="D21" s="2">
        <v>20</v>
      </c>
      <c r="E21" s="6"/>
      <c r="F21" s="2"/>
      <c r="G21" s="2"/>
      <c r="H21" s="2"/>
      <c r="I21" s="2" t="str">
        <f t="shared" si="0"/>
        <v/>
      </c>
      <c r="J21" s="3"/>
      <c r="K21" s="5" t="str">
        <f>IFERROR(Tabla3479[[#This Row],[USD]]/$B$1,"")</f>
        <v/>
      </c>
    </row>
    <row r="22" spans="1:11" ht="15.75" x14ac:dyDescent="0.25">
      <c r="D22" s="2">
        <v>21</v>
      </c>
      <c r="E22" s="6"/>
      <c r="F22" s="2"/>
      <c r="G22" s="2"/>
      <c r="H22" s="2"/>
      <c r="I22" s="2" t="str">
        <f t="shared" si="0"/>
        <v/>
      </c>
      <c r="J22" s="3"/>
      <c r="K22" s="5" t="str">
        <f>IFERROR(Tabla3479[[#This Row],[USD]]/$B$1,"")</f>
        <v/>
      </c>
    </row>
    <row r="23" spans="1:11" ht="15.75" x14ac:dyDescent="0.25">
      <c r="D23" s="2">
        <v>22</v>
      </c>
      <c r="E23" s="6"/>
      <c r="F23" s="2"/>
      <c r="G23" s="2"/>
      <c r="H23" s="2"/>
      <c r="I23" s="2" t="str">
        <f t="shared" si="0"/>
        <v/>
      </c>
      <c r="J23" s="3"/>
      <c r="K23" s="5" t="str">
        <f>IFERROR(Tabla3479[[#This Row],[USD]]/$B$1,"")</f>
        <v/>
      </c>
    </row>
    <row r="24" spans="1:11" ht="15.75" x14ac:dyDescent="0.25">
      <c r="D24" s="2">
        <v>23</v>
      </c>
      <c r="E24" s="6"/>
      <c r="F24" s="2"/>
      <c r="G24" s="2"/>
      <c r="H24" s="2"/>
      <c r="I24" s="2" t="str">
        <f t="shared" si="0"/>
        <v/>
      </c>
      <c r="J24" s="3"/>
      <c r="K24" s="5" t="str">
        <f>IFERROR(Tabla3479[[#This Row],[USD]]/$B$1,"")</f>
        <v/>
      </c>
    </row>
    <row r="25" spans="1:11" ht="15.75" x14ac:dyDescent="0.25">
      <c r="D25" s="2">
        <v>24</v>
      </c>
      <c r="E25" s="6"/>
      <c r="F25" s="2"/>
      <c r="G25" s="2"/>
      <c r="H25" s="2"/>
      <c r="I25" s="2" t="str">
        <f t="shared" si="0"/>
        <v/>
      </c>
      <c r="J25" s="3"/>
      <c r="K25" s="5" t="str">
        <f>IFERROR(Tabla3479[[#This Row],[USD]]/$B$1,"")</f>
        <v/>
      </c>
    </row>
    <row r="26" spans="1:11" ht="15.75" x14ac:dyDescent="0.25">
      <c r="D26" s="2">
        <v>25</v>
      </c>
      <c r="E26" s="6"/>
      <c r="F26" s="2"/>
      <c r="G26" s="2"/>
      <c r="H26" s="2"/>
      <c r="I26" s="2" t="str">
        <f t="shared" si="0"/>
        <v/>
      </c>
      <c r="J26" s="3"/>
      <c r="K26" s="5" t="str">
        <f>IFERROR(Tabla3479[[#This Row],[USD]]/$B$1,"")</f>
        <v/>
      </c>
    </row>
    <row r="27" spans="1:11" ht="15.75" x14ac:dyDescent="0.25">
      <c r="D27" s="2">
        <v>26</v>
      </c>
      <c r="E27" s="6"/>
      <c r="F27" s="2"/>
      <c r="G27" s="2"/>
      <c r="H27" s="2"/>
      <c r="I27" s="2" t="str">
        <f t="shared" si="0"/>
        <v/>
      </c>
      <c r="J27" s="3"/>
      <c r="K27" s="5" t="str">
        <f>IFERROR(Tabla3479[[#This Row],[USD]]/$B$1,"")</f>
        <v/>
      </c>
    </row>
    <row r="28" spans="1:11" ht="15.75" x14ac:dyDescent="0.25">
      <c r="D28" s="2">
        <v>27</v>
      </c>
      <c r="E28" s="6"/>
      <c r="F28" s="2"/>
      <c r="G28" s="2"/>
      <c r="H28" s="2"/>
      <c r="I28" s="2" t="str">
        <f t="shared" si="0"/>
        <v/>
      </c>
      <c r="J28" s="3"/>
      <c r="K28" s="5" t="str">
        <f>IFERROR(Tabla3479[[#This Row],[USD]]/$B$1,"")</f>
        <v/>
      </c>
    </row>
    <row r="29" spans="1:11" ht="15.75" x14ac:dyDescent="0.25">
      <c r="D29" s="2">
        <v>28</v>
      </c>
      <c r="E29" s="6"/>
      <c r="F29" s="2"/>
      <c r="G29" s="2"/>
      <c r="H29" s="2"/>
      <c r="I29" s="2" t="str">
        <f t="shared" si="0"/>
        <v/>
      </c>
      <c r="J29" s="3"/>
      <c r="K29" s="5" t="str">
        <f>IFERROR(Tabla3479[[#This Row],[USD]]/$B$1,"")</f>
        <v/>
      </c>
    </row>
    <row r="30" spans="1:11" ht="15.75" x14ac:dyDescent="0.25">
      <c r="D30" s="2">
        <v>29</v>
      </c>
      <c r="E30" s="6"/>
      <c r="F30" s="2"/>
      <c r="G30" s="2"/>
      <c r="H30" s="2"/>
      <c r="I30" s="2" t="str">
        <f t="shared" si="0"/>
        <v/>
      </c>
      <c r="J30" s="3"/>
      <c r="K30" s="5" t="str">
        <f>IFERROR(Tabla3479[[#This Row],[USD]]/$B$1,"")</f>
        <v/>
      </c>
    </row>
    <row r="31" spans="1:11" ht="15.75" x14ac:dyDescent="0.25">
      <c r="D31" s="2">
        <v>30</v>
      </c>
      <c r="E31" s="6"/>
      <c r="F31" s="2"/>
      <c r="G31" s="2"/>
      <c r="H31" s="2"/>
      <c r="I31" s="2" t="str">
        <f t="shared" si="0"/>
        <v/>
      </c>
      <c r="J31" s="3"/>
      <c r="K31" s="5" t="str">
        <f>IFERROR(Tabla3479[[#This Row],[USD]]/$B$1,"")</f>
        <v/>
      </c>
    </row>
    <row r="32" spans="1:11" ht="15.75" x14ac:dyDescent="0.25">
      <c r="D32" s="2">
        <v>31</v>
      </c>
      <c r="E32" s="6"/>
      <c r="F32" s="2"/>
      <c r="G32" s="2"/>
      <c r="H32" s="2"/>
      <c r="I32" s="2" t="str">
        <f t="shared" si="0"/>
        <v/>
      </c>
      <c r="J32" s="3"/>
      <c r="K32" s="5" t="str">
        <f>IFERROR(Tabla3479[[#This Row],[USD]]/$B$1,"")</f>
        <v/>
      </c>
    </row>
    <row r="33" spans="4:11" ht="15.75" x14ac:dyDescent="0.25">
      <c r="D33" s="2">
        <v>32</v>
      </c>
      <c r="E33" s="6"/>
      <c r="F33" s="2"/>
      <c r="G33" s="2"/>
      <c r="H33" s="2"/>
      <c r="I33" s="2" t="str">
        <f t="shared" si="0"/>
        <v/>
      </c>
      <c r="J33" s="3"/>
      <c r="K33" s="5" t="str">
        <f>IFERROR(Tabla3479[[#This Row],[USD]]/$B$1,"")</f>
        <v/>
      </c>
    </row>
    <row r="34" spans="4:11" ht="15.75" x14ac:dyDescent="0.25">
      <c r="D34" s="2">
        <v>33</v>
      </c>
      <c r="E34" s="6"/>
      <c r="F34" s="2"/>
      <c r="G34" s="2"/>
      <c r="H34" s="2"/>
      <c r="I34" s="2" t="str">
        <f t="shared" si="0"/>
        <v/>
      </c>
      <c r="J34" s="3"/>
      <c r="K34" s="5" t="str">
        <f>IFERROR(Tabla3479[[#This Row],[USD]]/$B$1,"")</f>
        <v/>
      </c>
    </row>
    <row r="35" spans="4:11" ht="15.75" x14ac:dyDescent="0.25">
      <c r="D35" s="2">
        <v>34</v>
      </c>
      <c r="E35" s="6"/>
      <c r="F35" s="2"/>
      <c r="G35" s="2"/>
      <c r="H35" s="2"/>
      <c r="I35" s="2" t="str">
        <f t="shared" si="0"/>
        <v/>
      </c>
      <c r="J35" s="3"/>
      <c r="K35" s="5" t="str">
        <f>IFERROR(Tabla3479[[#This Row],[USD]]/$B$1,"")</f>
        <v/>
      </c>
    </row>
    <row r="36" spans="4:11" ht="15.75" x14ac:dyDescent="0.25">
      <c r="D36" s="2">
        <v>35</v>
      </c>
      <c r="E36" s="6"/>
      <c r="F36" s="2"/>
      <c r="G36" s="2"/>
      <c r="H36" s="2"/>
      <c r="I36" s="2" t="str">
        <f t="shared" si="0"/>
        <v/>
      </c>
      <c r="J36" s="3"/>
      <c r="K36" s="5" t="str">
        <f>IFERROR(Tabla3479[[#This Row],[USD]]/$B$1,"")</f>
        <v/>
      </c>
    </row>
    <row r="37" spans="4:11" ht="15.75" x14ac:dyDescent="0.25">
      <c r="D37" s="2">
        <v>36</v>
      </c>
      <c r="E37" s="6"/>
      <c r="F37" s="2"/>
      <c r="G37" s="2"/>
      <c r="H37" s="2"/>
      <c r="I37" s="2" t="str">
        <f t="shared" si="0"/>
        <v/>
      </c>
      <c r="J37" s="3"/>
      <c r="K37" s="5" t="str">
        <f>IFERROR(Tabla3479[[#This Row],[USD]]/$B$1,"")</f>
        <v/>
      </c>
    </row>
    <row r="38" spans="4:11" ht="15.75" x14ac:dyDescent="0.25">
      <c r="D38" s="2">
        <v>37</v>
      </c>
      <c r="E38" s="6"/>
      <c r="F38" s="2"/>
      <c r="G38" s="2"/>
      <c r="H38" s="2"/>
      <c r="I38" s="2" t="str">
        <f t="shared" si="0"/>
        <v/>
      </c>
      <c r="J38" s="3"/>
      <c r="K38" s="5" t="str">
        <f>IFERROR(Tabla3479[[#This Row],[USD]]/$B$1,"")</f>
        <v/>
      </c>
    </row>
    <row r="39" spans="4:11" ht="15.75" x14ac:dyDescent="0.25">
      <c r="D39" s="2">
        <v>38</v>
      </c>
      <c r="E39" s="6"/>
      <c r="F39" s="2"/>
      <c r="G39" s="2"/>
      <c r="H39" s="2"/>
      <c r="I39" s="2" t="str">
        <f t="shared" si="0"/>
        <v/>
      </c>
      <c r="J39" s="3"/>
      <c r="K39" s="5" t="str">
        <f>IFERROR(Tabla3479[[#This Row],[USD]]/$B$1,"")</f>
        <v/>
      </c>
    </row>
    <row r="40" spans="4:11" ht="15.75" x14ac:dyDescent="0.25">
      <c r="D40" s="2">
        <v>39</v>
      </c>
      <c r="E40" s="6"/>
      <c r="F40" s="2"/>
      <c r="G40" s="2"/>
      <c r="H40" s="2"/>
      <c r="I40" s="2" t="str">
        <f t="shared" si="0"/>
        <v/>
      </c>
      <c r="J40" s="3"/>
      <c r="K40" s="5" t="str">
        <f>IFERROR(Tabla3479[[#This Row],[USD]]/$B$1,"")</f>
        <v/>
      </c>
    </row>
    <row r="41" spans="4:11" ht="15.75" x14ac:dyDescent="0.25">
      <c r="D41" s="2">
        <v>40</v>
      </c>
      <c r="E41" s="6"/>
      <c r="F41" s="2"/>
      <c r="G41" s="2"/>
      <c r="H41" s="2"/>
      <c r="I41" s="2" t="str">
        <f t="shared" si="0"/>
        <v/>
      </c>
      <c r="J41" s="3"/>
      <c r="K41" s="5" t="str">
        <f>IFERROR(Tabla3479[[#This Row],[USD]]/$B$1,"")</f>
        <v/>
      </c>
    </row>
    <row r="42" spans="4:11" ht="15.75" x14ac:dyDescent="0.25">
      <c r="D42" s="2">
        <v>41</v>
      </c>
      <c r="E42" s="6"/>
      <c r="F42" s="2"/>
      <c r="G42" s="2"/>
      <c r="H42" s="2"/>
      <c r="I42" s="2" t="str">
        <f t="shared" si="0"/>
        <v/>
      </c>
      <c r="J42" s="3"/>
      <c r="K42" s="5" t="str">
        <f>IFERROR(Tabla3479[[#This Row],[USD]]/$B$1,"")</f>
        <v/>
      </c>
    </row>
    <row r="43" spans="4:11" ht="15.75" x14ac:dyDescent="0.25">
      <c r="D43" s="2">
        <v>42</v>
      </c>
      <c r="E43" s="6"/>
      <c r="F43" s="2"/>
      <c r="G43" s="2"/>
      <c r="H43" s="2"/>
      <c r="I43" s="2" t="str">
        <f t="shared" si="0"/>
        <v/>
      </c>
      <c r="J43" s="3"/>
      <c r="K43" s="5" t="str">
        <f>IFERROR(Tabla3479[[#This Row],[USD]]/$B$1,"")</f>
        <v/>
      </c>
    </row>
    <row r="44" spans="4:11" ht="15.75" x14ac:dyDescent="0.25">
      <c r="D44" s="2">
        <v>43</v>
      </c>
      <c r="E44" s="6"/>
      <c r="F44" s="2"/>
      <c r="G44" s="2"/>
      <c r="H44" s="2"/>
      <c r="I44" s="2" t="str">
        <f t="shared" si="0"/>
        <v/>
      </c>
      <c r="J44" s="3"/>
      <c r="K44" s="5" t="str">
        <f>IFERROR(Tabla3479[[#This Row],[USD]]/$B$1,"")</f>
        <v/>
      </c>
    </row>
    <row r="45" spans="4:11" ht="15.75" x14ac:dyDescent="0.25">
      <c r="D45" s="2">
        <v>44</v>
      </c>
      <c r="E45" s="6"/>
      <c r="F45" s="2"/>
      <c r="G45" s="2"/>
      <c r="H45" s="2"/>
      <c r="I45" s="2" t="str">
        <f t="shared" si="0"/>
        <v/>
      </c>
      <c r="J45" s="3"/>
      <c r="K45" s="5" t="str">
        <f>IFERROR(Tabla3479[[#This Row],[USD]]/$B$1,"")</f>
        <v/>
      </c>
    </row>
    <row r="46" spans="4:11" ht="15.75" x14ac:dyDescent="0.25">
      <c r="D46" s="2">
        <v>45</v>
      </c>
      <c r="E46" s="6"/>
      <c r="F46" s="2"/>
      <c r="G46" s="2"/>
      <c r="H46" s="2"/>
      <c r="I46" s="2" t="str">
        <f t="shared" si="0"/>
        <v/>
      </c>
      <c r="J46" s="3"/>
      <c r="K46" s="5" t="str">
        <f>IFERROR(Tabla3479[[#This Row],[USD]]/$B$1,"")</f>
        <v/>
      </c>
    </row>
    <row r="47" spans="4:11" ht="15.75" x14ac:dyDescent="0.25">
      <c r="D47" s="2">
        <v>46</v>
      </c>
      <c r="E47" s="6"/>
      <c r="F47" s="2"/>
      <c r="G47" s="2"/>
      <c r="H47" s="2"/>
      <c r="I47" s="2" t="str">
        <f t="shared" si="0"/>
        <v/>
      </c>
      <c r="J47" s="3"/>
      <c r="K47" s="5" t="str">
        <f>IFERROR(Tabla3479[[#This Row],[USD]]/$B$1,"")</f>
        <v/>
      </c>
    </row>
    <row r="48" spans="4:11" ht="15.75" x14ac:dyDescent="0.25">
      <c r="D48" s="2">
        <v>47</v>
      </c>
      <c r="E48" s="6"/>
      <c r="F48" s="2"/>
      <c r="G48" s="2"/>
      <c r="H48" s="2"/>
      <c r="I48" s="2" t="str">
        <f t="shared" si="0"/>
        <v/>
      </c>
      <c r="J48" s="3"/>
      <c r="K48" s="5" t="str">
        <f>IFERROR(Tabla3479[[#This Row],[USD]]/$B$1,"")</f>
        <v/>
      </c>
    </row>
    <row r="49" spans="4:11" ht="15.75" x14ac:dyDescent="0.25">
      <c r="D49" s="2">
        <v>48</v>
      </c>
      <c r="E49" s="6"/>
      <c r="F49" s="2"/>
      <c r="G49" s="2"/>
      <c r="H49" s="2"/>
      <c r="I49" s="2" t="str">
        <f t="shared" si="0"/>
        <v/>
      </c>
      <c r="J49" s="3"/>
      <c r="K49" s="5" t="str">
        <f>IFERROR(Tabla3479[[#This Row],[USD]]/$B$1,"")</f>
        <v/>
      </c>
    </row>
    <row r="50" spans="4:11" ht="15.75" x14ac:dyDescent="0.25">
      <c r="D50" s="2">
        <v>49</v>
      </c>
      <c r="E50" s="6"/>
      <c r="F50" s="2"/>
      <c r="G50" s="2"/>
      <c r="H50" s="2"/>
      <c r="I50" s="2" t="str">
        <f t="shared" si="0"/>
        <v/>
      </c>
      <c r="J50" s="3"/>
      <c r="K50" s="5" t="str">
        <f>IFERROR(Tabla3479[[#This Row],[USD]]/$B$1,"")</f>
        <v/>
      </c>
    </row>
    <row r="51" spans="4:11" ht="15.75" x14ac:dyDescent="0.25">
      <c r="D51" s="2">
        <v>50</v>
      </c>
      <c r="E51" s="6"/>
      <c r="F51" s="2"/>
      <c r="G51" s="2"/>
      <c r="H51" s="2"/>
      <c r="I51" s="2" t="str">
        <f t="shared" si="0"/>
        <v/>
      </c>
      <c r="J51" s="3"/>
      <c r="K51" s="5" t="str">
        <f>IFERROR(Tabla3479[[#This Row],[USD]]/$B$1,"")</f>
        <v/>
      </c>
    </row>
    <row r="52" spans="4:11" ht="15.75" x14ac:dyDescent="0.25">
      <c r="D52" s="2">
        <v>51</v>
      </c>
      <c r="E52" s="6"/>
      <c r="F52" s="2"/>
      <c r="G52" s="2"/>
      <c r="H52" s="2"/>
      <c r="I52" s="2" t="str">
        <f t="shared" si="0"/>
        <v/>
      </c>
      <c r="J52" s="3"/>
      <c r="K52" s="5" t="str">
        <f>IFERROR(Tabla3479[[#This Row],[USD]]/$B$1,"")</f>
        <v/>
      </c>
    </row>
    <row r="53" spans="4:11" ht="15.75" x14ac:dyDescent="0.25">
      <c r="D53" s="2">
        <v>52</v>
      </c>
      <c r="E53" s="6"/>
      <c r="F53" s="2"/>
      <c r="G53" s="2"/>
      <c r="H53" s="2"/>
      <c r="I53" s="2" t="str">
        <f t="shared" si="0"/>
        <v/>
      </c>
      <c r="J53" s="3"/>
      <c r="K53" s="5" t="str">
        <f>IFERROR(Tabla3479[[#This Row],[USD]]/$B$1,"")</f>
        <v/>
      </c>
    </row>
    <row r="54" spans="4:11" ht="15.75" x14ac:dyDescent="0.25">
      <c r="D54" s="2">
        <v>53</v>
      </c>
      <c r="E54" s="6"/>
      <c r="F54" s="2"/>
      <c r="G54" s="2"/>
      <c r="H54" s="2"/>
      <c r="I54" s="2" t="str">
        <f t="shared" si="0"/>
        <v/>
      </c>
      <c r="J54" s="3"/>
      <c r="K54" s="5" t="str">
        <f>IFERROR(Tabla3479[[#This Row],[USD]]/$B$1,"")</f>
        <v/>
      </c>
    </row>
    <row r="55" spans="4:11" ht="15.75" x14ac:dyDescent="0.25">
      <c r="D55" s="2">
        <v>54</v>
      </c>
      <c r="E55" s="6"/>
      <c r="F55" s="2"/>
      <c r="G55" s="2"/>
      <c r="H55" s="2"/>
      <c r="I55" s="2" t="str">
        <f t="shared" si="0"/>
        <v/>
      </c>
      <c r="J55" s="3"/>
      <c r="K55" s="5" t="str">
        <f>IFERROR(Tabla3479[[#This Row],[USD]]/$B$1,"")</f>
        <v/>
      </c>
    </row>
    <row r="56" spans="4:11" ht="15.75" x14ac:dyDescent="0.25">
      <c r="D56" s="2">
        <v>55</v>
      </c>
      <c r="E56" s="6"/>
      <c r="F56" s="2"/>
      <c r="G56" s="2"/>
      <c r="H56" s="2"/>
      <c r="I56" s="2" t="str">
        <f t="shared" si="0"/>
        <v/>
      </c>
      <c r="J56" s="3"/>
      <c r="K56" s="5" t="str">
        <f>IFERROR(Tabla3479[[#This Row],[USD]]/$B$1,"")</f>
        <v/>
      </c>
    </row>
    <row r="57" spans="4:11" ht="15.75" x14ac:dyDescent="0.25">
      <c r="D57" s="2">
        <v>56</v>
      </c>
      <c r="E57" s="6"/>
      <c r="F57" s="2"/>
      <c r="G57" s="2"/>
      <c r="H57" s="2"/>
      <c r="I57" s="2" t="str">
        <f t="shared" si="0"/>
        <v/>
      </c>
      <c r="J57" s="3"/>
      <c r="K57" s="5" t="str">
        <f>IFERROR(Tabla3479[[#This Row],[USD]]/$B$1,"")</f>
        <v/>
      </c>
    </row>
    <row r="58" spans="4:11" ht="15.75" x14ac:dyDescent="0.25">
      <c r="D58" s="2">
        <v>57</v>
      </c>
      <c r="E58" s="6"/>
      <c r="F58" s="2"/>
      <c r="G58" s="2"/>
      <c r="H58" s="2"/>
      <c r="I58" s="2" t="str">
        <f t="shared" si="0"/>
        <v/>
      </c>
      <c r="J58" s="3"/>
      <c r="K58" s="5" t="str">
        <f>IFERROR(Tabla3479[[#This Row],[USD]]/$B$1,"")</f>
        <v/>
      </c>
    </row>
    <row r="59" spans="4:11" ht="15.75" x14ac:dyDescent="0.25">
      <c r="D59" s="2">
        <v>58</v>
      </c>
      <c r="E59" s="6"/>
      <c r="F59" s="2"/>
      <c r="G59" s="2"/>
      <c r="H59" s="2"/>
      <c r="I59" s="2" t="str">
        <f t="shared" si="0"/>
        <v/>
      </c>
      <c r="J59" s="3"/>
      <c r="K59" s="5" t="str">
        <f>IFERROR(Tabla3479[[#This Row],[USD]]/$B$1,"")</f>
        <v/>
      </c>
    </row>
    <row r="60" spans="4:11" ht="15.75" x14ac:dyDescent="0.25">
      <c r="D60" s="2">
        <v>59</v>
      </c>
      <c r="E60" s="6"/>
      <c r="F60" s="2"/>
      <c r="G60" s="2"/>
      <c r="H60" s="2"/>
      <c r="I60" s="2" t="str">
        <f t="shared" si="0"/>
        <v/>
      </c>
      <c r="J60" s="3"/>
      <c r="K60" s="5" t="str">
        <f>IFERROR(Tabla3479[[#This Row],[USD]]/$B$1,"")</f>
        <v/>
      </c>
    </row>
    <row r="61" spans="4:11" ht="15.75" x14ac:dyDescent="0.25">
      <c r="D61" s="2">
        <v>60</v>
      </c>
      <c r="E61" s="6"/>
      <c r="F61" s="2"/>
      <c r="G61" s="2"/>
      <c r="H61" s="2"/>
      <c r="I61" s="2" t="str">
        <f t="shared" si="0"/>
        <v/>
      </c>
      <c r="J61" s="3"/>
      <c r="K61" s="5" t="str">
        <f>IFERROR(Tabla3479[[#This Row],[USD]]/$B$1,"")</f>
        <v/>
      </c>
    </row>
    <row r="62" spans="4:11" ht="15.75" x14ac:dyDescent="0.25">
      <c r="D62" s="2">
        <v>61</v>
      </c>
      <c r="E62" s="6"/>
      <c r="F62" s="2"/>
      <c r="G62" s="2"/>
      <c r="H62" s="2"/>
      <c r="I62" s="2" t="str">
        <f t="shared" si="0"/>
        <v/>
      </c>
      <c r="J62" s="3"/>
      <c r="K62" s="5" t="str">
        <f>IFERROR(Tabla3479[[#This Row],[USD]]/$B$1,"")</f>
        <v/>
      </c>
    </row>
    <row r="63" spans="4:11" ht="15.75" x14ac:dyDescent="0.25">
      <c r="D63" s="2">
        <v>62</v>
      </c>
      <c r="E63" s="6"/>
      <c r="F63" s="2"/>
      <c r="G63" s="2"/>
      <c r="H63" s="2"/>
      <c r="I63" s="2" t="str">
        <f t="shared" si="0"/>
        <v/>
      </c>
      <c r="J63" s="3"/>
      <c r="K63" s="5" t="str">
        <f>IFERROR(Tabla3479[[#This Row],[USD]]/$B$1,"")</f>
        <v/>
      </c>
    </row>
    <row r="64" spans="4:11" ht="15.75" x14ac:dyDescent="0.25">
      <c r="D64" s="2">
        <v>63</v>
      </c>
      <c r="E64" s="6"/>
      <c r="F64" s="2"/>
      <c r="G64" s="2"/>
      <c r="H64" s="2"/>
      <c r="I64" s="2" t="str">
        <f t="shared" si="0"/>
        <v/>
      </c>
      <c r="J64" s="3"/>
      <c r="K64" s="5" t="str">
        <f>IFERROR(Tabla3479[[#This Row],[USD]]/$B$1,"")</f>
        <v/>
      </c>
    </row>
    <row r="65" spans="4:11" ht="15.75" x14ac:dyDescent="0.25">
      <c r="D65" s="2">
        <v>64</v>
      </c>
      <c r="E65" s="6"/>
      <c r="F65" s="2"/>
      <c r="G65" s="2"/>
      <c r="H65" s="2"/>
      <c r="I65" s="2" t="str">
        <f t="shared" si="0"/>
        <v/>
      </c>
      <c r="J65" s="3"/>
      <c r="K65" s="5" t="str">
        <f>IFERROR(Tabla3479[[#This Row],[USD]]/$B$1,"")</f>
        <v/>
      </c>
    </row>
    <row r="66" spans="4:11" ht="15.75" x14ac:dyDescent="0.25">
      <c r="D66" s="2">
        <v>65</v>
      </c>
      <c r="E66" s="6"/>
      <c r="F66" s="2"/>
      <c r="G66" s="2"/>
      <c r="H66" s="2"/>
      <c r="I66" s="2" t="str">
        <f t="shared" si="0"/>
        <v/>
      </c>
      <c r="J66" s="3"/>
      <c r="K66" s="5" t="str">
        <f>IFERROR(Tabla3479[[#This Row],[USD]]/$B$1,"")</f>
        <v/>
      </c>
    </row>
    <row r="67" spans="4:11" ht="15.75" x14ac:dyDescent="0.25">
      <c r="D67" s="2">
        <v>66</v>
      </c>
      <c r="E67" s="6"/>
      <c r="F67" s="2"/>
      <c r="G67" s="2"/>
      <c r="H67" s="2"/>
      <c r="I67" s="2" t="str">
        <f t="shared" ref="I67:I130" si="1">IF(J67="","",IF(J67&gt;3,"Ganado",IF(J67&lt;-3,"Perdido","Break Even")))</f>
        <v/>
      </c>
      <c r="J67" s="3"/>
      <c r="K67" s="5" t="str">
        <f>IFERROR(Tabla3479[[#This Row],[USD]]/$B$1,"")</f>
        <v/>
      </c>
    </row>
    <row r="68" spans="4:11" ht="15.75" x14ac:dyDescent="0.25">
      <c r="D68" s="2">
        <v>67</v>
      </c>
      <c r="E68" s="6"/>
      <c r="F68" s="2"/>
      <c r="G68" s="2"/>
      <c r="H68" s="2"/>
      <c r="I68" s="2" t="str">
        <f t="shared" si="1"/>
        <v/>
      </c>
      <c r="J68" s="3"/>
      <c r="K68" s="5" t="str">
        <f>IFERROR(Tabla3479[[#This Row],[USD]]/$B$1,"")</f>
        <v/>
      </c>
    </row>
    <row r="69" spans="4:11" ht="15.75" x14ac:dyDescent="0.25">
      <c r="D69" s="2">
        <v>68</v>
      </c>
      <c r="E69" s="6"/>
      <c r="F69" s="2"/>
      <c r="G69" s="2"/>
      <c r="H69" s="2"/>
      <c r="I69" s="2" t="str">
        <f t="shared" si="1"/>
        <v/>
      </c>
      <c r="J69" s="3"/>
      <c r="K69" s="5" t="str">
        <f>IFERROR(Tabla3479[[#This Row],[USD]]/$B$1,"")</f>
        <v/>
      </c>
    </row>
    <row r="70" spans="4:11" ht="15.75" x14ac:dyDescent="0.25">
      <c r="D70" s="2">
        <v>69</v>
      </c>
      <c r="E70" s="6"/>
      <c r="F70" s="2"/>
      <c r="G70" s="2"/>
      <c r="H70" s="2"/>
      <c r="I70" s="2" t="str">
        <f t="shared" si="1"/>
        <v/>
      </c>
      <c r="J70" s="3"/>
      <c r="K70" s="5" t="str">
        <f>IFERROR(Tabla3479[[#This Row],[USD]]/$B$1,"")</f>
        <v/>
      </c>
    </row>
    <row r="71" spans="4:11" ht="15.75" x14ac:dyDescent="0.25">
      <c r="D71" s="2">
        <v>70</v>
      </c>
      <c r="E71" s="6"/>
      <c r="F71" s="2"/>
      <c r="G71" s="2"/>
      <c r="H71" s="2"/>
      <c r="I71" s="2" t="str">
        <f t="shared" si="1"/>
        <v/>
      </c>
      <c r="J71" s="3"/>
      <c r="K71" s="5" t="str">
        <f>IFERROR(Tabla3479[[#This Row],[USD]]/$B$1,"")</f>
        <v/>
      </c>
    </row>
    <row r="72" spans="4:11" ht="15.75" x14ac:dyDescent="0.25">
      <c r="D72" s="2">
        <v>71</v>
      </c>
      <c r="E72" s="6"/>
      <c r="F72" s="2"/>
      <c r="G72" s="2"/>
      <c r="H72" s="2"/>
      <c r="I72" s="2" t="str">
        <f t="shared" si="1"/>
        <v/>
      </c>
      <c r="J72" s="3"/>
      <c r="K72" s="5" t="str">
        <f>IFERROR(Tabla3479[[#This Row],[USD]]/$B$1,"")</f>
        <v/>
      </c>
    </row>
    <row r="73" spans="4:11" ht="15.75" x14ac:dyDescent="0.25">
      <c r="D73" s="2">
        <v>72</v>
      </c>
      <c r="E73" s="6"/>
      <c r="F73" s="2"/>
      <c r="G73" s="2"/>
      <c r="H73" s="2"/>
      <c r="I73" s="2" t="str">
        <f t="shared" si="1"/>
        <v/>
      </c>
      <c r="J73" s="3"/>
      <c r="K73" s="5" t="str">
        <f>IFERROR(Tabla3479[[#This Row],[USD]]/$B$1,"")</f>
        <v/>
      </c>
    </row>
    <row r="74" spans="4:11" ht="15.75" x14ac:dyDescent="0.25">
      <c r="D74" s="2">
        <v>73</v>
      </c>
      <c r="E74" s="6"/>
      <c r="F74" s="2"/>
      <c r="G74" s="2"/>
      <c r="H74" s="2"/>
      <c r="I74" s="2" t="str">
        <f t="shared" si="1"/>
        <v/>
      </c>
      <c r="J74" s="3"/>
      <c r="K74" s="5" t="str">
        <f>IFERROR(Tabla3479[[#This Row],[USD]]/$B$1,"")</f>
        <v/>
      </c>
    </row>
    <row r="75" spans="4:11" ht="15.75" x14ac:dyDescent="0.25">
      <c r="D75" s="2">
        <v>74</v>
      </c>
      <c r="E75" s="6"/>
      <c r="F75" s="2"/>
      <c r="G75" s="2"/>
      <c r="H75" s="2"/>
      <c r="I75" s="2" t="str">
        <f t="shared" si="1"/>
        <v/>
      </c>
      <c r="J75" s="3"/>
      <c r="K75" s="5" t="str">
        <f>IFERROR(Tabla3479[[#This Row],[USD]]/$B$1,"")</f>
        <v/>
      </c>
    </row>
    <row r="76" spans="4:11" ht="15.75" x14ac:dyDescent="0.25">
      <c r="D76" s="2">
        <v>75</v>
      </c>
      <c r="E76" s="6"/>
      <c r="F76" s="2"/>
      <c r="G76" s="2"/>
      <c r="H76" s="2"/>
      <c r="I76" s="2" t="str">
        <f t="shared" si="1"/>
        <v/>
      </c>
      <c r="J76" s="3"/>
      <c r="K76" s="5" t="str">
        <f>IFERROR(Tabla3479[[#This Row],[USD]]/$B$1,"")</f>
        <v/>
      </c>
    </row>
    <row r="77" spans="4:11" ht="15.75" x14ac:dyDescent="0.25">
      <c r="D77" s="2">
        <v>76</v>
      </c>
      <c r="E77" s="6"/>
      <c r="F77" s="2"/>
      <c r="G77" s="2"/>
      <c r="H77" s="2"/>
      <c r="I77" s="2" t="str">
        <f t="shared" si="1"/>
        <v/>
      </c>
      <c r="J77" s="3"/>
      <c r="K77" s="5" t="str">
        <f>IFERROR(Tabla3479[[#This Row],[USD]]/$B$1,"")</f>
        <v/>
      </c>
    </row>
    <row r="78" spans="4:11" ht="15.75" x14ac:dyDescent="0.25">
      <c r="D78" s="2">
        <v>77</v>
      </c>
      <c r="E78" s="6"/>
      <c r="F78" s="2"/>
      <c r="G78" s="2"/>
      <c r="H78" s="2"/>
      <c r="I78" s="2" t="str">
        <f t="shared" si="1"/>
        <v/>
      </c>
      <c r="J78" s="3"/>
      <c r="K78" s="5" t="str">
        <f>IFERROR(Tabla3479[[#This Row],[USD]]/$B$1,"")</f>
        <v/>
      </c>
    </row>
    <row r="79" spans="4:11" ht="15.75" x14ac:dyDescent="0.25">
      <c r="D79" s="2">
        <v>78</v>
      </c>
      <c r="E79" s="6"/>
      <c r="F79" s="2"/>
      <c r="G79" s="2"/>
      <c r="H79" s="2"/>
      <c r="I79" s="2" t="str">
        <f t="shared" si="1"/>
        <v/>
      </c>
      <c r="J79" s="3"/>
      <c r="K79" s="5" t="str">
        <f>IFERROR(Tabla3479[[#This Row],[USD]]/$B$1,"")</f>
        <v/>
      </c>
    </row>
    <row r="80" spans="4:11" ht="15.75" x14ac:dyDescent="0.25">
      <c r="D80" s="2">
        <v>79</v>
      </c>
      <c r="E80" s="6"/>
      <c r="F80" s="2"/>
      <c r="G80" s="2"/>
      <c r="H80" s="2"/>
      <c r="I80" s="2" t="str">
        <f t="shared" si="1"/>
        <v/>
      </c>
      <c r="J80" s="3"/>
      <c r="K80" s="5" t="str">
        <f>IFERROR(Tabla3479[[#This Row],[USD]]/$B$1,"")</f>
        <v/>
      </c>
    </row>
    <row r="81" spans="4:11" ht="15.75" x14ac:dyDescent="0.25">
      <c r="D81" s="2">
        <v>80</v>
      </c>
      <c r="E81" s="6"/>
      <c r="F81" s="2"/>
      <c r="G81" s="2"/>
      <c r="H81" s="2"/>
      <c r="I81" s="2" t="str">
        <f t="shared" si="1"/>
        <v/>
      </c>
      <c r="J81" s="3"/>
      <c r="K81" s="5" t="str">
        <f>IFERROR(Tabla3479[[#This Row],[USD]]/$B$1,"")</f>
        <v/>
      </c>
    </row>
    <row r="82" spans="4:11" ht="15.75" x14ac:dyDescent="0.25">
      <c r="D82" s="2">
        <v>81</v>
      </c>
      <c r="E82" s="6"/>
      <c r="F82" s="2"/>
      <c r="G82" s="2"/>
      <c r="H82" s="2"/>
      <c r="I82" s="2" t="str">
        <f t="shared" si="1"/>
        <v/>
      </c>
      <c r="J82" s="3"/>
      <c r="K82" s="5" t="str">
        <f>IFERROR(Tabla3479[[#This Row],[USD]]/$B$1,"")</f>
        <v/>
      </c>
    </row>
    <row r="83" spans="4:11" ht="15.75" x14ac:dyDescent="0.25">
      <c r="D83" s="2">
        <v>82</v>
      </c>
      <c r="E83" s="6"/>
      <c r="F83" s="2"/>
      <c r="G83" s="2"/>
      <c r="H83" s="2"/>
      <c r="I83" s="2" t="str">
        <f t="shared" si="1"/>
        <v/>
      </c>
      <c r="J83" s="3"/>
      <c r="K83" s="5" t="str">
        <f>IFERROR(Tabla3479[[#This Row],[USD]]/$B$1,"")</f>
        <v/>
      </c>
    </row>
    <row r="84" spans="4:11" ht="15.75" x14ac:dyDescent="0.25">
      <c r="D84" s="2">
        <v>83</v>
      </c>
      <c r="E84" s="6"/>
      <c r="F84" s="2"/>
      <c r="G84" s="2"/>
      <c r="H84" s="2"/>
      <c r="I84" s="2" t="str">
        <f t="shared" si="1"/>
        <v/>
      </c>
      <c r="J84" s="3"/>
      <c r="K84" s="5" t="str">
        <f>IFERROR(Tabla3479[[#This Row],[USD]]/$B$1,"")</f>
        <v/>
      </c>
    </row>
    <row r="85" spans="4:11" ht="15.75" x14ac:dyDescent="0.25">
      <c r="D85" s="2">
        <v>84</v>
      </c>
      <c r="E85" s="6"/>
      <c r="F85" s="2"/>
      <c r="G85" s="2"/>
      <c r="H85" s="2"/>
      <c r="I85" s="2" t="str">
        <f t="shared" si="1"/>
        <v/>
      </c>
      <c r="J85" s="3"/>
      <c r="K85" s="5" t="str">
        <f>IFERROR(Tabla3479[[#This Row],[USD]]/$B$1,"")</f>
        <v/>
      </c>
    </row>
    <row r="86" spans="4:11" ht="15.75" x14ac:dyDescent="0.25">
      <c r="D86" s="2">
        <v>85</v>
      </c>
      <c r="E86" s="6"/>
      <c r="F86" s="2"/>
      <c r="G86" s="2"/>
      <c r="H86" s="2"/>
      <c r="I86" s="2" t="str">
        <f t="shared" si="1"/>
        <v/>
      </c>
      <c r="J86" s="3"/>
      <c r="K86" s="5" t="str">
        <f>IFERROR(Tabla3479[[#This Row],[USD]]/$B$1,"")</f>
        <v/>
      </c>
    </row>
    <row r="87" spans="4:11" ht="15.75" x14ac:dyDescent="0.25">
      <c r="D87" s="2">
        <v>86</v>
      </c>
      <c r="E87" s="6"/>
      <c r="F87" s="2"/>
      <c r="G87" s="2"/>
      <c r="H87" s="2"/>
      <c r="I87" s="2" t="str">
        <f t="shared" si="1"/>
        <v/>
      </c>
      <c r="J87" s="3"/>
      <c r="K87" s="5" t="str">
        <f>IFERROR(Tabla3479[[#This Row],[USD]]/$B$1,"")</f>
        <v/>
      </c>
    </row>
    <row r="88" spans="4:11" ht="15.75" x14ac:dyDescent="0.25">
      <c r="D88" s="2">
        <v>87</v>
      </c>
      <c r="E88" s="6"/>
      <c r="F88" s="2"/>
      <c r="G88" s="2"/>
      <c r="H88" s="2"/>
      <c r="I88" s="2" t="str">
        <f t="shared" si="1"/>
        <v/>
      </c>
      <c r="J88" s="3"/>
      <c r="K88" s="5" t="str">
        <f>IFERROR(Tabla3479[[#This Row],[USD]]/$B$1,"")</f>
        <v/>
      </c>
    </row>
    <row r="89" spans="4:11" ht="15.75" x14ac:dyDescent="0.25">
      <c r="D89" s="2">
        <v>88</v>
      </c>
      <c r="E89" s="6"/>
      <c r="F89" s="2"/>
      <c r="G89" s="2"/>
      <c r="H89" s="2"/>
      <c r="I89" s="2" t="str">
        <f t="shared" si="1"/>
        <v/>
      </c>
      <c r="J89" s="3"/>
      <c r="K89" s="5" t="str">
        <f>IFERROR(Tabla3479[[#This Row],[USD]]/$B$1,"")</f>
        <v/>
      </c>
    </row>
    <row r="90" spans="4:11" ht="15.75" x14ac:dyDescent="0.25">
      <c r="D90" s="2">
        <v>89</v>
      </c>
      <c r="E90" s="6"/>
      <c r="F90" s="2"/>
      <c r="G90" s="2"/>
      <c r="H90" s="2"/>
      <c r="I90" s="2" t="str">
        <f t="shared" si="1"/>
        <v/>
      </c>
      <c r="J90" s="3"/>
      <c r="K90" s="5" t="str">
        <f>IFERROR(Tabla3479[[#This Row],[USD]]/$B$1,"")</f>
        <v/>
      </c>
    </row>
    <row r="91" spans="4:11" ht="15.75" x14ac:dyDescent="0.25">
      <c r="D91" s="2">
        <v>90</v>
      </c>
      <c r="E91" s="6"/>
      <c r="F91" s="2"/>
      <c r="G91" s="2"/>
      <c r="H91" s="2"/>
      <c r="I91" s="2" t="str">
        <f t="shared" si="1"/>
        <v/>
      </c>
      <c r="J91" s="3"/>
      <c r="K91" s="5" t="str">
        <f>IFERROR(Tabla3479[[#This Row],[USD]]/$B$1,"")</f>
        <v/>
      </c>
    </row>
    <row r="92" spans="4:11" ht="15.75" x14ac:dyDescent="0.25">
      <c r="D92" s="2">
        <v>91</v>
      </c>
      <c r="E92" s="6"/>
      <c r="F92" s="2"/>
      <c r="G92" s="2"/>
      <c r="H92" s="2"/>
      <c r="I92" s="2" t="str">
        <f t="shared" si="1"/>
        <v/>
      </c>
      <c r="J92" s="3"/>
      <c r="K92" s="5" t="str">
        <f>IFERROR(Tabla3479[[#This Row],[USD]]/$B$1,"")</f>
        <v/>
      </c>
    </row>
    <row r="93" spans="4:11" ht="15.75" x14ac:dyDescent="0.25">
      <c r="D93" s="2">
        <v>92</v>
      </c>
      <c r="E93" s="6"/>
      <c r="F93" s="2"/>
      <c r="G93" s="2"/>
      <c r="H93" s="2"/>
      <c r="I93" s="2" t="str">
        <f t="shared" si="1"/>
        <v/>
      </c>
      <c r="J93" s="3"/>
      <c r="K93" s="5" t="str">
        <f>IFERROR(Tabla3479[[#This Row],[USD]]/$B$1,"")</f>
        <v/>
      </c>
    </row>
    <row r="94" spans="4:11" ht="15.75" x14ac:dyDescent="0.25">
      <c r="D94" s="2">
        <v>93</v>
      </c>
      <c r="E94" s="6"/>
      <c r="F94" s="2"/>
      <c r="G94" s="2"/>
      <c r="H94" s="2"/>
      <c r="I94" s="2" t="str">
        <f t="shared" si="1"/>
        <v/>
      </c>
      <c r="J94" s="3"/>
      <c r="K94" s="5" t="str">
        <f>IFERROR(Tabla3479[[#This Row],[USD]]/$B$1,"")</f>
        <v/>
      </c>
    </row>
    <row r="95" spans="4:11" ht="15.75" x14ac:dyDescent="0.25">
      <c r="D95" s="2">
        <v>94</v>
      </c>
      <c r="E95" s="6"/>
      <c r="F95" s="2"/>
      <c r="G95" s="2"/>
      <c r="H95" s="2"/>
      <c r="I95" s="2" t="str">
        <f t="shared" si="1"/>
        <v/>
      </c>
      <c r="J95" s="3"/>
      <c r="K95" s="5" t="str">
        <f>IFERROR(Tabla3479[[#This Row],[USD]]/$B$1,"")</f>
        <v/>
      </c>
    </row>
    <row r="96" spans="4:11" ht="15.75" x14ac:dyDescent="0.25">
      <c r="D96" s="2">
        <v>95</v>
      </c>
      <c r="E96" s="6"/>
      <c r="F96" s="2"/>
      <c r="G96" s="2"/>
      <c r="H96" s="2"/>
      <c r="I96" s="2" t="str">
        <f t="shared" si="1"/>
        <v/>
      </c>
      <c r="J96" s="3"/>
      <c r="K96" s="5" t="str">
        <f>IFERROR(Tabla3479[[#This Row],[USD]]/$B$1,"")</f>
        <v/>
      </c>
    </row>
    <row r="97" spans="4:11" ht="15.75" x14ac:dyDescent="0.25">
      <c r="D97" s="2">
        <v>96</v>
      </c>
      <c r="E97" s="6"/>
      <c r="F97" s="2"/>
      <c r="G97" s="2"/>
      <c r="H97" s="2"/>
      <c r="I97" s="2" t="str">
        <f t="shared" si="1"/>
        <v/>
      </c>
      <c r="J97" s="3"/>
      <c r="K97" s="5" t="str">
        <f>IFERROR(Tabla3479[[#This Row],[USD]]/$B$1,"")</f>
        <v/>
      </c>
    </row>
    <row r="98" spans="4:11" ht="15.75" x14ac:dyDescent="0.25">
      <c r="D98" s="2">
        <v>97</v>
      </c>
      <c r="E98" s="6"/>
      <c r="F98" s="2"/>
      <c r="G98" s="2"/>
      <c r="H98" s="2"/>
      <c r="I98" s="2" t="str">
        <f t="shared" si="1"/>
        <v/>
      </c>
      <c r="J98" s="3"/>
      <c r="K98" s="5" t="str">
        <f>IFERROR(Tabla3479[[#This Row],[USD]]/$B$1,"")</f>
        <v/>
      </c>
    </row>
    <row r="99" spans="4:11" ht="15.75" x14ac:dyDescent="0.25">
      <c r="D99" s="2">
        <v>98</v>
      </c>
      <c r="E99" s="6"/>
      <c r="F99" s="2"/>
      <c r="G99" s="2"/>
      <c r="H99" s="2"/>
      <c r="I99" s="2" t="str">
        <f t="shared" si="1"/>
        <v/>
      </c>
      <c r="J99" s="3"/>
      <c r="K99" s="5" t="str">
        <f>IFERROR(Tabla3479[[#This Row],[USD]]/$B$1,"")</f>
        <v/>
      </c>
    </row>
    <row r="100" spans="4:11" ht="15.75" x14ac:dyDescent="0.25">
      <c r="D100" s="2">
        <v>99</v>
      </c>
      <c r="E100" s="6"/>
      <c r="F100" s="2"/>
      <c r="G100" s="2"/>
      <c r="H100" s="2"/>
      <c r="I100" s="2" t="str">
        <f t="shared" si="1"/>
        <v/>
      </c>
      <c r="J100" s="3"/>
      <c r="K100" s="5" t="str">
        <f>IFERROR(Tabla3479[[#This Row],[USD]]/$B$1,"")</f>
        <v/>
      </c>
    </row>
    <row r="101" spans="4:11" ht="15.75" x14ac:dyDescent="0.25">
      <c r="D101" s="2">
        <v>100</v>
      </c>
      <c r="E101" s="6"/>
      <c r="F101" s="2"/>
      <c r="G101" s="2"/>
      <c r="H101" s="2"/>
      <c r="I101" s="2" t="str">
        <f t="shared" si="1"/>
        <v/>
      </c>
      <c r="J101" s="3"/>
      <c r="K101" s="5" t="str">
        <f>IFERROR(Tabla3479[[#This Row],[USD]]/$B$1,"")</f>
        <v/>
      </c>
    </row>
    <row r="102" spans="4:11" ht="15.75" x14ac:dyDescent="0.25">
      <c r="D102" s="2">
        <v>101</v>
      </c>
      <c r="E102" s="6"/>
      <c r="F102" s="2"/>
      <c r="G102" s="2"/>
      <c r="H102" s="2"/>
      <c r="I102" s="2" t="str">
        <f t="shared" si="1"/>
        <v/>
      </c>
      <c r="J102" s="3"/>
      <c r="K102" s="5" t="str">
        <f>IFERROR(Tabla3479[[#This Row],[USD]]/$B$1,"")</f>
        <v/>
      </c>
    </row>
    <row r="103" spans="4:11" ht="15.75" x14ac:dyDescent="0.25">
      <c r="D103" s="2">
        <v>102</v>
      </c>
      <c r="E103" s="6"/>
      <c r="F103" s="2"/>
      <c r="G103" s="2"/>
      <c r="H103" s="2"/>
      <c r="I103" s="2" t="str">
        <f t="shared" si="1"/>
        <v/>
      </c>
      <c r="J103" s="3"/>
      <c r="K103" s="5" t="str">
        <f>IFERROR(Tabla3479[[#This Row],[USD]]/$B$1,"")</f>
        <v/>
      </c>
    </row>
    <row r="104" spans="4:11" ht="15.75" x14ac:dyDescent="0.25">
      <c r="D104" s="2">
        <v>103</v>
      </c>
      <c r="E104" s="6"/>
      <c r="F104" s="2"/>
      <c r="G104" s="2"/>
      <c r="H104" s="2"/>
      <c r="I104" s="2" t="str">
        <f t="shared" si="1"/>
        <v/>
      </c>
      <c r="J104" s="3"/>
      <c r="K104" s="5" t="str">
        <f>IFERROR(Tabla3479[[#This Row],[USD]]/$B$1,"")</f>
        <v/>
      </c>
    </row>
    <row r="105" spans="4:11" ht="15.75" x14ac:dyDescent="0.25">
      <c r="D105" s="2">
        <v>104</v>
      </c>
      <c r="E105" s="6"/>
      <c r="F105" s="2"/>
      <c r="G105" s="2"/>
      <c r="H105" s="2"/>
      <c r="I105" s="2" t="str">
        <f t="shared" si="1"/>
        <v/>
      </c>
      <c r="J105" s="3"/>
      <c r="K105" s="5" t="str">
        <f>IFERROR(Tabla3479[[#This Row],[USD]]/$B$1,"")</f>
        <v/>
      </c>
    </row>
    <row r="106" spans="4:11" ht="15.75" x14ac:dyDescent="0.25">
      <c r="D106" s="2">
        <v>105</v>
      </c>
      <c r="E106" s="6"/>
      <c r="F106" s="2"/>
      <c r="G106" s="2"/>
      <c r="H106" s="2"/>
      <c r="I106" s="2" t="str">
        <f t="shared" si="1"/>
        <v/>
      </c>
      <c r="J106" s="3"/>
      <c r="K106" s="5" t="str">
        <f>IFERROR(Tabla3479[[#This Row],[USD]]/$B$1,"")</f>
        <v/>
      </c>
    </row>
    <row r="107" spans="4:11" ht="15.75" x14ac:dyDescent="0.25">
      <c r="D107" s="2">
        <v>106</v>
      </c>
      <c r="E107" s="6"/>
      <c r="F107" s="2"/>
      <c r="G107" s="2"/>
      <c r="H107" s="2"/>
      <c r="I107" s="2" t="str">
        <f t="shared" si="1"/>
        <v/>
      </c>
      <c r="J107" s="3"/>
      <c r="K107" s="5" t="str">
        <f>IFERROR(Tabla3479[[#This Row],[USD]]/$B$1,"")</f>
        <v/>
      </c>
    </row>
    <row r="108" spans="4:11" ht="15.75" x14ac:dyDescent="0.25">
      <c r="D108" s="2">
        <v>107</v>
      </c>
      <c r="E108" s="6"/>
      <c r="F108" s="2"/>
      <c r="G108" s="2"/>
      <c r="H108" s="2"/>
      <c r="I108" s="2" t="str">
        <f t="shared" si="1"/>
        <v/>
      </c>
      <c r="J108" s="3"/>
      <c r="K108" s="5" t="str">
        <f>IFERROR(Tabla3479[[#This Row],[USD]]/$B$1,"")</f>
        <v/>
      </c>
    </row>
    <row r="109" spans="4:11" ht="15.75" x14ac:dyDescent="0.25">
      <c r="D109" s="2">
        <v>108</v>
      </c>
      <c r="E109" s="6"/>
      <c r="F109" s="2"/>
      <c r="G109" s="2"/>
      <c r="H109" s="2"/>
      <c r="I109" s="2" t="str">
        <f t="shared" si="1"/>
        <v/>
      </c>
      <c r="J109" s="3"/>
      <c r="K109" s="5" t="str">
        <f>IFERROR(Tabla3479[[#This Row],[USD]]/$B$1,"")</f>
        <v/>
      </c>
    </row>
    <row r="110" spans="4:11" ht="15.75" x14ac:dyDescent="0.25">
      <c r="D110" s="2">
        <v>109</v>
      </c>
      <c r="E110" s="6"/>
      <c r="F110" s="2"/>
      <c r="G110" s="2"/>
      <c r="H110" s="2"/>
      <c r="I110" s="2" t="str">
        <f t="shared" si="1"/>
        <v/>
      </c>
      <c r="J110" s="3"/>
      <c r="K110" s="5" t="str">
        <f>IFERROR(Tabla3479[[#This Row],[USD]]/$B$1,"")</f>
        <v/>
      </c>
    </row>
    <row r="111" spans="4:11" ht="15.75" x14ac:dyDescent="0.25">
      <c r="D111" s="2">
        <v>110</v>
      </c>
      <c r="E111" s="6"/>
      <c r="F111" s="2"/>
      <c r="G111" s="2"/>
      <c r="H111" s="2"/>
      <c r="I111" s="2" t="str">
        <f t="shared" si="1"/>
        <v/>
      </c>
      <c r="J111" s="3"/>
      <c r="K111" s="5" t="str">
        <f>IFERROR(Tabla3479[[#This Row],[USD]]/$B$1,"")</f>
        <v/>
      </c>
    </row>
    <row r="112" spans="4:11" ht="15.75" x14ac:dyDescent="0.25">
      <c r="D112" s="2">
        <v>111</v>
      </c>
      <c r="E112" s="6"/>
      <c r="F112" s="2"/>
      <c r="G112" s="2"/>
      <c r="H112" s="2"/>
      <c r="I112" s="2" t="str">
        <f t="shared" si="1"/>
        <v/>
      </c>
      <c r="J112" s="3"/>
      <c r="K112" s="5" t="str">
        <f>IFERROR(Tabla3479[[#This Row],[USD]]/$B$1,"")</f>
        <v/>
      </c>
    </row>
    <row r="113" spans="4:11" ht="15.75" x14ac:dyDescent="0.25">
      <c r="D113" s="2">
        <v>112</v>
      </c>
      <c r="E113" s="6"/>
      <c r="F113" s="2"/>
      <c r="G113" s="2"/>
      <c r="H113" s="2"/>
      <c r="I113" s="2" t="str">
        <f t="shared" si="1"/>
        <v/>
      </c>
      <c r="J113" s="3"/>
      <c r="K113" s="5" t="str">
        <f>IFERROR(Tabla3479[[#This Row],[USD]]/$B$1,"")</f>
        <v/>
      </c>
    </row>
    <row r="114" spans="4:11" ht="15.75" x14ac:dyDescent="0.25">
      <c r="D114" s="2">
        <v>113</v>
      </c>
      <c r="E114" s="6"/>
      <c r="F114" s="2"/>
      <c r="G114" s="2"/>
      <c r="H114" s="2"/>
      <c r="I114" s="2" t="str">
        <f t="shared" si="1"/>
        <v/>
      </c>
      <c r="J114" s="3"/>
      <c r="K114" s="5" t="str">
        <f>IFERROR(Tabla3479[[#This Row],[USD]]/$B$1,"")</f>
        <v/>
      </c>
    </row>
    <row r="115" spans="4:11" ht="15.75" x14ac:dyDescent="0.25">
      <c r="D115" s="2">
        <v>114</v>
      </c>
      <c r="E115" s="6"/>
      <c r="F115" s="2"/>
      <c r="G115" s="2"/>
      <c r="H115" s="2"/>
      <c r="I115" s="2" t="str">
        <f t="shared" si="1"/>
        <v/>
      </c>
      <c r="J115" s="3"/>
      <c r="K115" s="5" t="str">
        <f>IFERROR(Tabla3479[[#This Row],[USD]]/$B$1,"")</f>
        <v/>
      </c>
    </row>
    <row r="116" spans="4:11" ht="15.75" x14ac:dyDescent="0.25">
      <c r="D116" s="2">
        <v>115</v>
      </c>
      <c r="E116" s="6"/>
      <c r="F116" s="2"/>
      <c r="G116" s="2"/>
      <c r="H116" s="2"/>
      <c r="I116" s="2" t="str">
        <f t="shared" si="1"/>
        <v/>
      </c>
      <c r="J116" s="3"/>
      <c r="K116" s="5" t="str">
        <f>IFERROR(Tabla3479[[#This Row],[USD]]/$B$1,"")</f>
        <v/>
      </c>
    </row>
    <row r="117" spans="4:11" ht="15.75" x14ac:dyDescent="0.25">
      <c r="D117" s="2">
        <v>116</v>
      </c>
      <c r="E117" s="6"/>
      <c r="F117" s="2"/>
      <c r="G117" s="2"/>
      <c r="H117" s="2"/>
      <c r="I117" s="2" t="str">
        <f t="shared" si="1"/>
        <v/>
      </c>
      <c r="J117" s="3"/>
      <c r="K117" s="5" t="str">
        <f>IFERROR(Tabla3479[[#This Row],[USD]]/$B$1,"")</f>
        <v/>
      </c>
    </row>
    <row r="118" spans="4:11" ht="15.75" x14ac:dyDescent="0.25">
      <c r="D118" s="2">
        <v>117</v>
      </c>
      <c r="E118" s="6"/>
      <c r="F118" s="2"/>
      <c r="G118" s="2"/>
      <c r="H118" s="2"/>
      <c r="I118" s="2" t="str">
        <f t="shared" si="1"/>
        <v/>
      </c>
      <c r="J118" s="3"/>
      <c r="K118" s="5" t="str">
        <f>IFERROR(Tabla3479[[#This Row],[USD]]/$B$1,"")</f>
        <v/>
      </c>
    </row>
    <row r="119" spans="4:11" ht="15.75" x14ac:dyDescent="0.25">
      <c r="D119" s="2">
        <v>118</v>
      </c>
      <c r="E119" s="6"/>
      <c r="F119" s="2"/>
      <c r="G119" s="2"/>
      <c r="H119" s="2"/>
      <c r="I119" s="2" t="str">
        <f t="shared" si="1"/>
        <v/>
      </c>
      <c r="J119" s="3"/>
      <c r="K119" s="5" t="str">
        <f>IFERROR(Tabla3479[[#This Row],[USD]]/$B$1,"")</f>
        <v/>
      </c>
    </row>
    <row r="120" spans="4:11" ht="15.75" x14ac:dyDescent="0.25">
      <c r="D120" s="2">
        <v>119</v>
      </c>
      <c r="E120" s="6"/>
      <c r="F120" s="2"/>
      <c r="G120" s="2"/>
      <c r="H120" s="2"/>
      <c r="I120" s="2" t="str">
        <f t="shared" si="1"/>
        <v/>
      </c>
      <c r="J120" s="3"/>
      <c r="K120" s="5" t="str">
        <f>IFERROR(Tabla3479[[#This Row],[USD]]/$B$1,"")</f>
        <v/>
      </c>
    </row>
    <row r="121" spans="4:11" ht="15.75" x14ac:dyDescent="0.25">
      <c r="D121" s="2">
        <v>120</v>
      </c>
      <c r="E121" s="6"/>
      <c r="F121" s="2"/>
      <c r="G121" s="2"/>
      <c r="H121" s="2"/>
      <c r="I121" s="2" t="str">
        <f t="shared" si="1"/>
        <v/>
      </c>
      <c r="J121" s="3"/>
      <c r="K121" s="5" t="str">
        <f>IFERROR(Tabla3479[[#This Row],[USD]]/$B$1,"")</f>
        <v/>
      </c>
    </row>
    <row r="122" spans="4:11" ht="15.75" x14ac:dyDescent="0.25">
      <c r="D122" s="2">
        <v>121</v>
      </c>
      <c r="E122" s="6"/>
      <c r="F122" s="2"/>
      <c r="G122" s="2"/>
      <c r="H122" s="2"/>
      <c r="I122" s="2" t="str">
        <f t="shared" si="1"/>
        <v/>
      </c>
      <c r="J122" s="3"/>
      <c r="K122" s="5" t="str">
        <f>IFERROR(Tabla3479[[#This Row],[USD]]/$B$1,"")</f>
        <v/>
      </c>
    </row>
    <row r="123" spans="4:11" ht="15.75" x14ac:dyDescent="0.25">
      <c r="D123" s="2">
        <v>122</v>
      </c>
      <c r="E123" s="6"/>
      <c r="F123" s="2"/>
      <c r="G123" s="2"/>
      <c r="H123" s="2"/>
      <c r="I123" s="2" t="str">
        <f t="shared" si="1"/>
        <v/>
      </c>
      <c r="J123" s="3"/>
      <c r="K123" s="5" t="str">
        <f>IFERROR(Tabla3479[[#This Row],[USD]]/$B$1,"")</f>
        <v/>
      </c>
    </row>
    <row r="124" spans="4:11" ht="15.75" x14ac:dyDescent="0.25">
      <c r="D124" s="2">
        <v>123</v>
      </c>
      <c r="E124" s="6"/>
      <c r="F124" s="2"/>
      <c r="G124" s="2"/>
      <c r="H124" s="2"/>
      <c r="I124" s="2" t="str">
        <f t="shared" si="1"/>
        <v/>
      </c>
      <c r="J124" s="3"/>
      <c r="K124" s="5" t="str">
        <f>IFERROR(Tabla3479[[#This Row],[USD]]/$B$1,"")</f>
        <v/>
      </c>
    </row>
    <row r="125" spans="4:11" ht="15.75" x14ac:dyDescent="0.25">
      <c r="D125" s="2">
        <v>124</v>
      </c>
      <c r="E125" s="6"/>
      <c r="F125" s="2"/>
      <c r="G125" s="2"/>
      <c r="H125" s="2"/>
      <c r="I125" s="2" t="str">
        <f t="shared" si="1"/>
        <v/>
      </c>
      <c r="J125" s="3"/>
      <c r="K125" s="5" t="str">
        <f>IFERROR(Tabla3479[[#This Row],[USD]]/$B$1,"")</f>
        <v/>
      </c>
    </row>
    <row r="126" spans="4:11" ht="15.75" x14ac:dyDescent="0.25">
      <c r="D126" s="2">
        <v>125</v>
      </c>
      <c r="E126" s="6"/>
      <c r="F126" s="2"/>
      <c r="G126" s="2"/>
      <c r="H126" s="2"/>
      <c r="I126" s="2" t="str">
        <f t="shared" si="1"/>
        <v/>
      </c>
      <c r="J126" s="3"/>
      <c r="K126" s="5" t="str">
        <f>IFERROR(Tabla3479[[#This Row],[USD]]/$B$1,"")</f>
        <v/>
      </c>
    </row>
    <row r="127" spans="4:11" ht="15.75" x14ac:dyDescent="0.25">
      <c r="D127" s="2">
        <v>126</v>
      </c>
      <c r="E127" s="6"/>
      <c r="F127" s="2"/>
      <c r="G127" s="2"/>
      <c r="H127" s="2"/>
      <c r="I127" s="2" t="str">
        <f t="shared" si="1"/>
        <v/>
      </c>
      <c r="J127" s="3"/>
      <c r="K127" s="5" t="str">
        <f>IFERROR(Tabla3479[[#This Row],[USD]]/$B$1,"")</f>
        <v/>
      </c>
    </row>
    <row r="128" spans="4:11" ht="15.75" x14ac:dyDescent="0.25">
      <c r="D128" s="2">
        <v>127</v>
      </c>
      <c r="E128" s="6"/>
      <c r="F128" s="2"/>
      <c r="G128" s="2"/>
      <c r="H128" s="2"/>
      <c r="I128" s="2" t="str">
        <f t="shared" si="1"/>
        <v/>
      </c>
      <c r="J128" s="3"/>
      <c r="K128" s="5" t="str">
        <f>IFERROR(Tabla3479[[#This Row],[USD]]/$B$1,"")</f>
        <v/>
      </c>
    </row>
    <row r="129" spans="4:11" ht="15.75" x14ac:dyDescent="0.25">
      <c r="D129" s="2">
        <v>128</v>
      </c>
      <c r="E129" s="6"/>
      <c r="F129" s="2"/>
      <c r="G129" s="2"/>
      <c r="H129" s="2"/>
      <c r="I129" s="2" t="str">
        <f t="shared" si="1"/>
        <v/>
      </c>
      <c r="J129" s="3"/>
      <c r="K129" s="5" t="str">
        <f>IFERROR(Tabla3479[[#This Row],[USD]]/$B$1,"")</f>
        <v/>
      </c>
    </row>
    <row r="130" spans="4:11" ht="15.75" x14ac:dyDescent="0.25">
      <c r="D130" s="2">
        <v>129</v>
      </c>
      <c r="E130" s="6"/>
      <c r="F130" s="2"/>
      <c r="G130" s="2"/>
      <c r="H130" s="2"/>
      <c r="I130" s="2" t="str">
        <f t="shared" si="1"/>
        <v/>
      </c>
      <c r="J130" s="3"/>
      <c r="K130" s="5" t="str">
        <f>IFERROR(Tabla3479[[#This Row],[USD]]/$B$1,"")</f>
        <v/>
      </c>
    </row>
    <row r="131" spans="4:11" ht="15.75" x14ac:dyDescent="0.25">
      <c r="D131" s="2">
        <v>130</v>
      </c>
      <c r="E131" s="6"/>
      <c r="F131" s="2"/>
      <c r="G131" s="2"/>
      <c r="H131" s="2"/>
      <c r="I131" s="2" t="str">
        <f t="shared" ref="I131:I194" si="2">IF(J131="","",IF(J131&gt;3,"Ganado",IF(J131&lt;-3,"Perdido","Break Even")))</f>
        <v/>
      </c>
      <c r="J131" s="3"/>
      <c r="K131" s="5" t="str">
        <f>IFERROR(Tabla3479[[#This Row],[USD]]/$B$1,"")</f>
        <v/>
      </c>
    </row>
    <row r="132" spans="4:11" ht="15.75" x14ac:dyDescent="0.25">
      <c r="D132" s="2">
        <v>131</v>
      </c>
      <c r="E132" s="6"/>
      <c r="F132" s="2"/>
      <c r="G132" s="2"/>
      <c r="H132" s="2"/>
      <c r="I132" s="2" t="str">
        <f t="shared" si="2"/>
        <v/>
      </c>
      <c r="J132" s="3"/>
      <c r="K132" s="5" t="str">
        <f>IFERROR(Tabla3479[[#This Row],[USD]]/$B$1,"")</f>
        <v/>
      </c>
    </row>
    <row r="133" spans="4:11" ht="15.75" x14ac:dyDescent="0.25">
      <c r="D133" s="2">
        <v>132</v>
      </c>
      <c r="E133" s="6"/>
      <c r="F133" s="2"/>
      <c r="G133" s="2"/>
      <c r="H133" s="2"/>
      <c r="I133" s="2" t="str">
        <f t="shared" si="2"/>
        <v/>
      </c>
      <c r="J133" s="3"/>
      <c r="K133" s="5" t="str">
        <f>IFERROR(Tabla3479[[#This Row],[USD]]/$B$1,"")</f>
        <v/>
      </c>
    </row>
    <row r="134" spans="4:11" ht="15.75" x14ac:dyDescent="0.25">
      <c r="D134" s="2">
        <v>133</v>
      </c>
      <c r="E134" s="6"/>
      <c r="F134" s="2"/>
      <c r="G134" s="2"/>
      <c r="H134" s="2"/>
      <c r="I134" s="2" t="str">
        <f t="shared" si="2"/>
        <v/>
      </c>
      <c r="J134" s="3"/>
      <c r="K134" s="5" t="str">
        <f>IFERROR(Tabla3479[[#This Row],[USD]]/$B$1,"")</f>
        <v/>
      </c>
    </row>
    <row r="135" spans="4:11" ht="15.75" x14ac:dyDescent="0.25">
      <c r="D135" s="2">
        <v>134</v>
      </c>
      <c r="E135" s="6"/>
      <c r="F135" s="2"/>
      <c r="G135" s="2"/>
      <c r="H135" s="2"/>
      <c r="I135" s="2" t="str">
        <f t="shared" si="2"/>
        <v/>
      </c>
      <c r="J135" s="3"/>
      <c r="K135" s="5" t="str">
        <f>IFERROR(Tabla3479[[#This Row],[USD]]/$B$1,"")</f>
        <v/>
      </c>
    </row>
    <row r="136" spans="4:11" ht="15.75" x14ac:dyDescent="0.25">
      <c r="D136" s="2">
        <v>135</v>
      </c>
      <c r="E136" s="6"/>
      <c r="F136" s="2"/>
      <c r="G136" s="2"/>
      <c r="H136" s="2"/>
      <c r="I136" s="2" t="str">
        <f t="shared" si="2"/>
        <v/>
      </c>
      <c r="J136" s="3"/>
      <c r="K136" s="5" t="str">
        <f>IFERROR(Tabla3479[[#This Row],[USD]]/$B$1,"")</f>
        <v/>
      </c>
    </row>
    <row r="137" spans="4:11" ht="15.75" x14ac:dyDescent="0.25">
      <c r="D137" s="2">
        <v>136</v>
      </c>
      <c r="E137" s="6"/>
      <c r="F137" s="2"/>
      <c r="G137" s="2"/>
      <c r="H137" s="2"/>
      <c r="I137" s="2" t="str">
        <f t="shared" si="2"/>
        <v/>
      </c>
      <c r="J137" s="3"/>
      <c r="K137" s="5" t="str">
        <f>IFERROR(Tabla3479[[#This Row],[USD]]/$B$1,"")</f>
        <v/>
      </c>
    </row>
    <row r="138" spans="4:11" ht="15.75" x14ac:dyDescent="0.25">
      <c r="D138" s="2">
        <v>137</v>
      </c>
      <c r="E138" s="6"/>
      <c r="F138" s="2"/>
      <c r="G138" s="2"/>
      <c r="H138" s="2"/>
      <c r="I138" s="2" t="str">
        <f t="shared" si="2"/>
        <v/>
      </c>
      <c r="J138" s="3"/>
      <c r="K138" s="5" t="str">
        <f>IFERROR(Tabla3479[[#This Row],[USD]]/$B$1,"")</f>
        <v/>
      </c>
    </row>
    <row r="139" spans="4:11" ht="15.75" x14ac:dyDescent="0.25">
      <c r="D139" s="2">
        <v>138</v>
      </c>
      <c r="E139" s="6"/>
      <c r="F139" s="2"/>
      <c r="G139" s="2"/>
      <c r="H139" s="2"/>
      <c r="I139" s="2" t="str">
        <f t="shared" si="2"/>
        <v/>
      </c>
      <c r="J139" s="3"/>
      <c r="K139" s="5" t="str">
        <f>IFERROR(Tabla3479[[#This Row],[USD]]/$B$1,"")</f>
        <v/>
      </c>
    </row>
    <row r="140" spans="4:11" ht="15.75" x14ac:dyDescent="0.25">
      <c r="D140" s="2">
        <v>139</v>
      </c>
      <c r="E140" s="6"/>
      <c r="F140" s="2"/>
      <c r="G140" s="2"/>
      <c r="H140" s="2"/>
      <c r="I140" s="2" t="str">
        <f t="shared" si="2"/>
        <v/>
      </c>
      <c r="J140" s="3"/>
      <c r="K140" s="5" t="str">
        <f>IFERROR(Tabla3479[[#This Row],[USD]]/$B$1,"")</f>
        <v/>
      </c>
    </row>
    <row r="141" spans="4:11" ht="15.75" x14ac:dyDescent="0.25">
      <c r="D141" s="2">
        <v>140</v>
      </c>
      <c r="E141" s="6"/>
      <c r="F141" s="2"/>
      <c r="G141" s="2"/>
      <c r="H141" s="2"/>
      <c r="I141" s="2" t="str">
        <f t="shared" si="2"/>
        <v/>
      </c>
      <c r="J141" s="3"/>
      <c r="K141" s="5" t="str">
        <f>IFERROR(Tabla3479[[#This Row],[USD]]/$B$1,"")</f>
        <v/>
      </c>
    </row>
    <row r="142" spans="4:11" ht="15.75" x14ac:dyDescent="0.25">
      <c r="D142" s="2">
        <v>141</v>
      </c>
      <c r="E142" s="6"/>
      <c r="F142" s="2"/>
      <c r="G142" s="2"/>
      <c r="H142" s="2"/>
      <c r="I142" s="2" t="str">
        <f t="shared" si="2"/>
        <v/>
      </c>
      <c r="J142" s="3"/>
      <c r="K142" s="5" t="str">
        <f>IFERROR(Tabla3479[[#This Row],[USD]]/$B$1,"")</f>
        <v/>
      </c>
    </row>
    <row r="143" spans="4:11" ht="15.75" x14ac:dyDescent="0.25">
      <c r="D143" s="2">
        <v>142</v>
      </c>
      <c r="E143" s="6"/>
      <c r="F143" s="2"/>
      <c r="G143" s="2"/>
      <c r="H143" s="2"/>
      <c r="I143" s="2" t="str">
        <f t="shared" si="2"/>
        <v/>
      </c>
      <c r="J143" s="3"/>
      <c r="K143" s="5" t="str">
        <f>IFERROR(Tabla3479[[#This Row],[USD]]/$B$1,"")</f>
        <v/>
      </c>
    </row>
    <row r="144" spans="4:11" ht="15.75" x14ac:dyDescent="0.25">
      <c r="D144" s="2">
        <v>143</v>
      </c>
      <c r="E144" s="6"/>
      <c r="F144" s="2"/>
      <c r="G144" s="2"/>
      <c r="H144" s="2"/>
      <c r="I144" s="2" t="str">
        <f t="shared" si="2"/>
        <v/>
      </c>
      <c r="J144" s="3"/>
      <c r="K144" s="5" t="str">
        <f>IFERROR(Tabla3479[[#This Row],[USD]]/$B$1,"")</f>
        <v/>
      </c>
    </row>
    <row r="145" spans="4:11" ht="15.75" x14ac:dyDescent="0.25">
      <c r="D145" s="2">
        <v>144</v>
      </c>
      <c r="E145" s="6"/>
      <c r="F145" s="2"/>
      <c r="G145" s="2"/>
      <c r="H145" s="2"/>
      <c r="I145" s="2" t="str">
        <f t="shared" si="2"/>
        <v/>
      </c>
      <c r="J145" s="3"/>
      <c r="K145" s="5" t="str">
        <f>IFERROR(Tabla3479[[#This Row],[USD]]/$B$1,"")</f>
        <v/>
      </c>
    </row>
    <row r="146" spans="4:11" ht="15.75" x14ac:dyDescent="0.25">
      <c r="D146" s="2">
        <v>145</v>
      </c>
      <c r="E146" s="6"/>
      <c r="F146" s="2"/>
      <c r="G146" s="2"/>
      <c r="H146" s="2"/>
      <c r="I146" s="2" t="str">
        <f t="shared" si="2"/>
        <v/>
      </c>
      <c r="J146" s="3"/>
      <c r="K146" s="5" t="str">
        <f>IFERROR(Tabla3479[[#This Row],[USD]]/$B$1,"")</f>
        <v/>
      </c>
    </row>
    <row r="147" spans="4:11" ht="15.75" x14ac:dyDescent="0.25">
      <c r="D147" s="2">
        <v>146</v>
      </c>
      <c r="E147" s="6"/>
      <c r="F147" s="2"/>
      <c r="G147" s="2"/>
      <c r="H147" s="2"/>
      <c r="I147" s="2" t="str">
        <f t="shared" si="2"/>
        <v/>
      </c>
      <c r="J147" s="3"/>
      <c r="K147" s="5" t="str">
        <f>IFERROR(Tabla3479[[#This Row],[USD]]/$B$1,"")</f>
        <v/>
      </c>
    </row>
    <row r="148" spans="4:11" ht="15.75" x14ac:dyDescent="0.25">
      <c r="D148" s="2">
        <v>147</v>
      </c>
      <c r="E148" s="6"/>
      <c r="F148" s="2"/>
      <c r="G148" s="2"/>
      <c r="H148" s="2"/>
      <c r="I148" s="2" t="str">
        <f t="shared" si="2"/>
        <v/>
      </c>
      <c r="J148" s="3"/>
      <c r="K148" s="5" t="str">
        <f>IFERROR(Tabla3479[[#This Row],[USD]]/$B$1,"")</f>
        <v/>
      </c>
    </row>
    <row r="149" spans="4:11" ht="15.75" x14ac:dyDescent="0.25">
      <c r="D149" s="2">
        <v>148</v>
      </c>
      <c r="E149" s="6"/>
      <c r="F149" s="2"/>
      <c r="G149" s="2"/>
      <c r="H149" s="2"/>
      <c r="I149" s="2" t="str">
        <f t="shared" si="2"/>
        <v/>
      </c>
      <c r="J149" s="3"/>
      <c r="K149" s="5" t="str">
        <f>IFERROR(Tabla3479[[#This Row],[USD]]/$B$1,"")</f>
        <v/>
      </c>
    </row>
    <row r="150" spans="4:11" ht="15.75" x14ac:dyDescent="0.25">
      <c r="D150" s="2">
        <v>149</v>
      </c>
      <c r="E150" s="6"/>
      <c r="F150" s="2"/>
      <c r="G150" s="2"/>
      <c r="H150" s="2"/>
      <c r="I150" s="2" t="str">
        <f t="shared" si="2"/>
        <v/>
      </c>
      <c r="J150" s="3"/>
      <c r="K150" s="5" t="str">
        <f>IFERROR(Tabla3479[[#This Row],[USD]]/$B$1,"")</f>
        <v/>
      </c>
    </row>
    <row r="151" spans="4:11" ht="15.75" x14ac:dyDescent="0.25">
      <c r="D151" s="2">
        <v>150</v>
      </c>
      <c r="E151" s="6"/>
      <c r="F151" s="2"/>
      <c r="G151" s="2"/>
      <c r="H151" s="2"/>
      <c r="I151" s="2" t="str">
        <f t="shared" si="2"/>
        <v/>
      </c>
      <c r="J151" s="3"/>
      <c r="K151" s="5" t="str">
        <f>IFERROR(Tabla3479[[#This Row],[USD]]/$B$1,"")</f>
        <v/>
      </c>
    </row>
    <row r="152" spans="4:11" ht="15.75" x14ac:dyDescent="0.25">
      <c r="D152" s="2">
        <v>151</v>
      </c>
      <c r="E152" s="6"/>
      <c r="F152" s="2"/>
      <c r="G152" s="2"/>
      <c r="H152" s="2"/>
      <c r="I152" s="2" t="str">
        <f t="shared" si="2"/>
        <v/>
      </c>
      <c r="J152" s="3"/>
      <c r="K152" s="5" t="str">
        <f>IFERROR(Tabla3479[[#This Row],[USD]]/$B$1,"")</f>
        <v/>
      </c>
    </row>
    <row r="153" spans="4:11" ht="15.75" x14ac:dyDescent="0.25">
      <c r="D153" s="2">
        <v>152</v>
      </c>
      <c r="E153" s="6"/>
      <c r="F153" s="2"/>
      <c r="G153" s="2"/>
      <c r="H153" s="2"/>
      <c r="I153" s="2" t="str">
        <f t="shared" si="2"/>
        <v/>
      </c>
      <c r="J153" s="3"/>
      <c r="K153" s="5" t="str">
        <f>IFERROR(Tabla3479[[#This Row],[USD]]/$B$1,"")</f>
        <v/>
      </c>
    </row>
    <row r="154" spans="4:11" ht="15.75" x14ac:dyDescent="0.25">
      <c r="D154" s="2">
        <v>153</v>
      </c>
      <c r="E154" s="6"/>
      <c r="F154" s="2"/>
      <c r="G154" s="2"/>
      <c r="H154" s="2"/>
      <c r="I154" s="2" t="str">
        <f t="shared" si="2"/>
        <v/>
      </c>
      <c r="J154" s="3"/>
      <c r="K154" s="5" t="str">
        <f>IFERROR(Tabla3479[[#This Row],[USD]]/$B$1,"")</f>
        <v/>
      </c>
    </row>
    <row r="155" spans="4:11" ht="15.75" x14ac:dyDescent="0.25">
      <c r="D155" s="2">
        <v>154</v>
      </c>
      <c r="E155" s="6"/>
      <c r="F155" s="2"/>
      <c r="G155" s="2"/>
      <c r="H155" s="2"/>
      <c r="I155" s="2" t="str">
        <f t="shared" si="2"/>
        <v/>
      </c>
      <c r="J155" s="3"/>
      <c r="K155" s="5" t="str">
        <f>IFERROR(Tabla3479[[#This Row],[USD]]/$B$1,"")</f>
        <v/>
      </c>
    </row>
    <row r="156" spans="4:11" ht="15.75" x14ac:dyDescent="0.25">
      <c r="D156" s="2">
        <v>155</v>
      </c>
      <c r="E156" s="6"/>
      <c r="F156" s="2"/>
      <c r="G156" s="2"/>
      <c r="H156" s="2"/>
      <c r="I156" s="2" t="str">
        <f t="shared" si="2"/>
        <v/>
      </c>
      <c r="J156" s="3"/>
      <c r="K156" s="5" t="str">
        <f>IFERROR(Tabla3479[[#This Row],[USD]]/$B$1,"")</f>
        <v/>
      </c>
    </row>
    <row r="157" spans="4:11" ht="15.75" x14ac:dyDescent="0.25">
      <c r="D157" s="2">
        <v>156</v>
      </c>
      <c r="E157" s="6"/>
      <c r="F157" s="2"/>
      <c r="G157" s="2"/>
      <c r="H157" s="2"/>
      <c r="I157" s="2" t="str">
        <f t="shared" si="2"/>
        <v/>
      </c>
      <c r="J157" s="3"/>
      <c r="K157" s="5" t="str">
        <f>IFERROR(Tabla3479[[#This Row],[USD]]/$B$1,"")</f>
        <v/>
      </c>
    </row>
    <row r="158" spans="4:11" ht="15.75" x14ac:dyDescent="0.25">
      <c r="D158" s="2">
        <v>157</v>
      </c>
      <c r="E158" s="6"/>
      <c r="F158" s="2"/>
      <c r="G158" s="2"/>
      <c r="H158" s="2"/>
      <c r="I158" s="2" t="str">
        <f t="shared" si="2"/>
        <v/>
      </c>
      <c r="J158" s="3"/>
      <c r="K158" s="5" t="str">
        <f>IFERROR(Tabla3479[[#This Row],[USD]]/$B$1,"")</f>
        <v/>
      </c>
    </row>
    <row r="159" spans="4:11" ht="15.75" x14ac:dyDescent="0.25">
      <c r="D159" s="2">
        <v>158</v>
      </c>
      <c r="E159" s="6"/>
      <c r="F159" s="2"/>
      <c r="G159" s="2"/>
      <c r="H159" s="2"/>
      <c r="I159" s="2" t="str">
        <f t="shared" si="2"/>
        <v/>
      </c>
      <c r="J159" s="3"/>
      <c r="K159" s="5" t="str">
        <f>IFERROR(Tabla3479[[#This Row],[USD]]/$B$1,"")</f>
        <v/>
      </c>
    </row>
    <row r="160" spans="4:11" ht="15.75" x14ac:dyDescent="0.25">
      <c r="D160" s="2">
        <v>159</v>
      </c>
      <c r="E160" s="6"/>
      <c r="F160" s="2"/>
      <c r="G160" s="2"/>
      <c r="H160" s="2"/>
      <c r="I160" s="2" t="str">
        <f t="shared" si="2"/>
        <v/>
      </c>
      <c r="J160" s="3"/>
      <c r="K160" s="5" t="str">
        <f>IFERROR(Tabla3479[[#This Row],[USD]]/$B$1,"")</f>
        <v/>
      </c>
    </row>
    <row r="161" spans="4:11" ht="15.75" x14ac:dyDescent="0.25">
      <c r="D161" s="2">
        <v>160</v>
      </c>
      <c r="E161" s="6"/>
      <c r="F161" s="2"/>
      <c r="G161" s="2"/>
      <c r="H161" s="2"/>
      <c r="I161" s="2" t="str">
        <f t="shared" si="2"/>
        <v/>
      </c>
      <c r="J161" s="3"/>
      <c r="K161" s="5" t="str">
        <f>IFERROR(Tabla3479[[#This Row],[USD]]/$B$1,"")</f>
        <v/>
      </c>
    </row>
    <row r="162" spans="4:11" ht="15.75" x14ac:dyDescent="0.25">
      <c r="D162" s="2">
        <v>161</v>
      </c>
      <c r="E162" s="6"/>
      <c r="F162" s="2"/>
      <c r="G162" s="2"/>
      <c r="H162" s="2"/>
      <c r="I162" s="2" t="str">
        <f t="shared" si="2"/>
        <v/>
      </c>
      <c r="J162" s="3"/>
      <c r="K162" s="5" t="str">
        <f>IFERROR(Tabla3479[[#This Row],[USD]]/$B$1,"")</f>
        <v/>
      </c>
    </row>
    <row r="163" spans="4:11" ht="15.75" x14ac:dyDescent="0.25">
      <c r="D163" s="2">
        <v>162</v>
      </c>
      <c r="E163" s="6"/>
      <c r="F163" s="2"/>
      <c r="G163" s="2"/>
      <c r="H163" s="2"/>
      <c r="I163" s="2" t="str">
        <f t="shared" si="2"/>
        <v/>
      </c>
      <c r="J163" s="3"/>
      <c r="K163" s="5" t="str">
        <f>IFERROR(Tabla3479[[#This Row],[USD]]/$B$1,"")</f>
        <v/>
      </c>
    </row>
    <row r="164" spans="4:11" ht="15.75" x14ac:dyDescent="0.25">
      <c r="D164" s="2">
        <v>163</v>
      </c>
      <c r="E164" s="6"/>
      <c r="F164" s="2"/>
      <c r="G164" s="2"/>
      <c r="H164" s="2"/>
      <c r="I164" s="2" t="str">
        <f t="shared" si="2"/>
        <v/>
      </c>
      <c r="J164" s="3"/>
      <c r="K164" s="5" t="str">
        <f>IFERROR(Tabla3479[[#This Row],[USD]]/$B$1,"")</f>
        <v/>
      </c>
    </row>
    <row r="165" spans="4:11" ht="15.75" x14ac:dyDescent="0.25">
      <c r="D165" s="2">
        <v>164</v>
      </c>
      <c r="E165" s="6"/>
      <c r="F165" s="2"/>
      <c r="G165" s="2"/>
      <c r="H165" s="2"/>
      <c r="I165" s="2" t="str">
        <f t="shared" si="2"/>
        <v/>
      </c>
      <c r="J165" s="3"/>
      <c r="K165" s="5" t="str">
        <f>IFERROR(Tabla3479[[#This Row],[USD]]/$B$1,"")</f>
        <v/>
      </c>
    </row>
    <row r="166" spans="4:11" ht="15.75" x14ac:dyDescent="0.25">
      <c r="D166" s="2">
        <v>165</v>
      </c>
      <c r="E166" s="6"/>
      <c r="F166" s="2"/>
      <c r="G166" s="2"/>
      <c r="H166" s="2"/>
      <c r="I166" s="2" t="str">
        <f t="shared" si="2"/>
        <v/>
      </c>
      <c r="J166" s="3"/>
      <c r="K166" s="5" t="str">
        <f>IFERROR(Tabla3479[[#This Row],[USD]]/$B$1,"")</f>
        <v/>
      </c>
    </row>
    <row r="167" spans="4:11" ht="15.75" x14ac:dyDescent="0.25">
      <c r="D167" s="2">
        <v>166</v>
      </c>
      <c r="E167" s="6"/>
      <c r="F167" s="2"/>
      <c r="G167" s="2"/>
      <c r="H167" s="2"/>
      <c r="I167" s="2" t="str">
        <f t="shared" si="2"/>
        <v/>
      </c>
      <c r="J167" s="3"/>
      <c r="K167" s="5" t="str">
        <f>IFERROR(Tabla3479[[#This Row],[USD]]/$B$1,"")</f>
        <v/>
      </c>
    </row>
    <row r="168" spans="4:11" ht="15.75" x14ac:dyDescent="0.25">
      <c r="D168" s="2">
        <v>167</v>
      </c>
      <c r="E168" s="6"/>
      <c r="F168" s="2"/>
      <c r="G168" s="2"/>
      <c r="H168" s="2"/>
      <c r="I168" s="2" t="str">
        <f t="shared" si="2"/>
        <v/>
      </c>
      <c r="J168" s="3"/>
      <c r="K168" s="5" t="str">
        <f>IFERROR(Tabla3479[[#This Row],[USD]]/$B$1,"")</f>
        <v/>
      </c>
    </row>
    <row r="169" spans="4:11" ht="15.75" x14ac:dyDescent="0.25">
      <c r="D169" s="2">
        <v>168</v>
      </c>
      <c r="E169" s="6"/>
      <c r="F169" s="2"/>
      <c r="G169" s="2"/>
      <c r="H169" s="2"/>
      <c r="I169" s="2" t="str">
        <f t="shared" si="2"/>
        <v/>
      </c>
      <c r="J169" s="3"/>
      <c r="K169" s="5" t="str">
        <f>IFERROR(Tabla3479[[#This Row],[USD]]/$B$1,"")</f>
        <v/>
      </c>
    </row>
    <row r="170" spans="4:11" ht="15.75" x14ac:dyDescent="0.25">
      <c r="D170" s="2">
        <v>169</v>
      </c>
      <c r="E170" s="6"/>
      <c r="F170" s="2"/>
      <c r="G170" s="2"/>
      <c r="H170" s="2"/>
      <c r="I170" s="2" t="str">
        <f t="shared" si="2"/>
        <v/>
      </c>
      <c r="J170" s="3"/>
      <c r="K170" s="5" t="str">
        <f>IFERROR(Tabla3479[[#This Row],[USD]]/$B$1,"")</f>
        <v/>
      </c>
    </row>
    <row r="171" spans="4:11" ht="15.75" x14ac:dyDescent="0.25">
      <c r="D171" s="2">
        <v>170</v>
      </c>
      <c r="E171" s="6"/>
      <c r="F171" s="2"/>
      <c r="G171" s="2"/>
      <c r="H171" s="2"/>
      <c r="I171" s="2" t="str">
        <f t="shared" si="2"/>
        <v/>
      </c>
      <c r="J171" s="3"/>
      <c r="K171" s="5" t="str">
        <f>IFERROR(Tabla3479[[#This Row],[USD]]/$B$1,"")</f>
        <v/>
      </c>
    </row>
    <row r="172" spans="4:11" ht="15.75" x14ac:dyDescent="0.25">
      <c r="D172" s="2">
        <v>171</v>
      </c>
      <c r="E172" s="6"/>
      <c r="F172" s="2"/>
      <c r="G172" s="2"/>
      <c r="H172" s="2"/>
      <c r="I172" s="2" t="str">
        <f t="shared" si="2"/>
        <v/>
      </c>
      <c r="J172" s="3"/>
      <c r="K172" s="5" t="str">
        <f>IFERROR(Tabla3479[[#This Row],[USD]]/$B$1,"")</f>
        <v/>
      </c>
    </row>
    <row r="173" spans="4:11" ht="15.75" x14ac:dyDescent="0.25">
      <c r="D173" s="2">
        <v>172</v>
      </c>
      <c r="E173" s="6"/>
      <c r="F173" s="2"/>
      <c r="G173" s="2"/>
      <c r="H173" s="2"/>
      <c r="I173" s="2" t="str">
        <f t="shared" si="2"/>
        <v/>
      </c>
      <c r="J173" s="3"/>
      <c r="K173" s="5" t="str">
        <f>IFERROR(Tabla3479[[#This Row],[USD]]/$B$1,"")</f>
        <v/>
      </c>
    </row>
    <row r="174" spans="4:11" ht="15.75" x14ac:dyDescent="0.25">
      <c r="D174" s="2">
        <v>173</v>
      </c>
      <c r="E174" s="6"/>
      <c r="F174" s="2"/>
      <c r="G174" s="2"/>
      <c r="H174" s="2"/>
      <c r="I174" s="2" t="str">
        <f t="shared" si="2"/>
        <v/>
      </c>
      <c r="J174" s="3"/>
      <c r="K174" s="5" t="str">
        <f>IFERROR(Tabla3479[[#This Row],[USD]]/$B$1,"")</f>
        <v/>
      </c>
    </row>
    <row r="175" spans="4:11" ht="15.75" x14ac:dyDescent="0.25">
      <c r="D175" s="2">
        <v>174</v>
      </c>
      <c r="E175" s="6"/>
      <c r="F175" s="2"/>
      <c r="G175" s="2"/>
      <c r="H175" s="2"/>
      <c r="I175" s="2" t="str">
        <f t="shared" si="2"/>
        <v/>
      </c>
      <c r="J175" s="3"/>
      <c r="K175" s="5" t="str">
        <f>IFERROR(Tabla3479[[#This Row],[USD]]/$B$1,"")</f>
        <v/>
      </c>
    </row>
    <row r="176" spans="4:11" ht="15.75" x14ac:dyDescent="0.25">
      <c r="D176" s="2">
        <v>175</v>
      </c>
      <c r="E176" s="6"/>
      <c r="F176" s="2"/>
      <c r="G176" s="2"/>
      <c r="H176" s="2"/>
      <c r="I176" s="2" t="str">
        <f t="shared" si="2"/>
        <v/>
      </c>
      <c r="J176" s="3"/>
      <c r="K176" s="5" t="str">
        <f>IFERROR(Tabla3479[[#This Row],[USD]]/$B$1,"")</f>
        <v/>
      </c>
    </row>
    <row r="177" spans="4:11" ht="15.75" x14ac:dyDescent="0.25">
      <c r="D177" s="2">
        <v>176</v>
      </c>
      <c r="E177" s="6"/>
      <c r="F177" s="2"/>
      <c r="G177" s="2"/>
      <c r="H177" s="2"/>
      <c r="I177" s="2" t="str">
        <f t="shared" si="2"/>
        <v/>
      </c>
      <c r="J177" s="3"/>
      <c r="K177" s="5" t="str">
        <f>IFERROR(Tabla3479[[#This Row],[USD]]/$B$1,"")</f>
        <v/>
      </c>
    </row>
    <row r="178" spans="4:11" ht="15.75" x14ac:dyDescent="0.25">
      <c r="D178" s="2">
        <v>177</v>
      </c>
      <c r="E178" s="6"/>
      <c r="F178" s="2"/>
      <c r="G178" s="2"/>
      <c r="H178" s="2"/>
      <c r="I178" s="2" t="str">
        <f t="shared" si="2"/>
        <v/>
      </c>
      <c r="J178" s="3"/>
      <c r="K178" s="5" t="str">
        <f>IFERROR(Tabla3479[[#This Row],[USD]]/$B$1,"")</f>
        <v/>
      </c>
    </row>
    <row r="179" spans="4:11" ht="15.75" x14ac:dyDescent="0.25">
      <c r="D179" s="2">
        <v>178</v>
      </c>
      <c r="E179" s="6"/>
      <c r="F179" s="2"/>
      <c r="G179" s="2"/>
      <c r="H179" s="2"/>
      <c r="I179" s="2" t="str">
        <f t="shared" si="2"/>
        <v/>
      </c>
      <c r="J179" s="3"/>
      <c r="K179" s="5" t="str">
        <f>IFERROR(Tabla3479[[#This Row],[USD]]/$B$1,"")</f>
        <v/>
      </c>
    </row>
    <row r="180" spans="4:11" ht="15.75" x14ac:dyDescent="0.25">
      <c r="D180" s="2">
        <v>179</v>
      </c>
      <c r="E180" s="6"/>
      <c r="F180" s="2"/>
      <c r="G180" s="2"/>
      <c r="H180" s="2"/>
      <c r="I180" s="2" t="str">
        <f t="shared" si="2"/>
        <v/>
      </c>
      <c r="J180" s="3"/>
      <c r="K180" s="5" t="str">
        <f>IFERROR(Tabla3479[[#This Row],[USD]]/$B$1,"")</f>
        <v/>
      </c>
    </row>
    <row r="181" spans="4:11" ht="15.75" x14ac:dyDescent="0.25">
      <c r="D181" s="2">
        <v>180</v>
      </c>
      <c r="E181" s="6"/>
      <c r="F181" s="2"/>
      <c r="G181" s="2"/>
      <c r="H181" s="2"/>
      <c r="I181" s="2" t="str">
        <f t="shared" si="2"/>
        <v/>
      </c>
      <c r="J181" s="3"/>
      <c r="K181" s="5" t="str">
        <f>IFERROR(Tabla3479[[#This Row],[USD]]/$B$1,"")</f>
        <v/>
      </c>
    </row>
    <row r="182" spans="4:11" ht="15.75" x14ac:dyDescent="0.25">
      <c r="D182" s="2">
        <v>181</v>
      </c>
      <c r="E182" s="6"/>
      <c r="F182" s="2"/>
      <c r="G182" s="2"/>
      <c r="H182" s="2"/>
      <c r="I182" s="2" t="str">
        <f t="shared" si="2"/>
        <v/>
      </c>
      <c r="J182" s="3"/>
      <c r="K182" s="5" t="str">
        <f>IFERROR(Tabla3479[[#This Row],[USD]]/$B$1,"")</f>
        <v/>
      </c>
    </row>
    <row r="183" spans="4:11" ht="15.75" x14ac:dyDescent="0.25">
      <c r="D183" s="2">
        <v>182</v>
      </c>
      <c r="E183" s="6"/>
      <c r="F183" s="2"/>
      <c r="G183" s="2"/>
      <c r="H183" s="2"/>
      <c r="I183" s="2" t="str">
        <f t="shared" si="2"/>
        <v/>
      </c>
      <c r="J183" s="3"/>
      <c r="K183" s="5" t="str">
        <f>IFERROR(Tabla3479[[#This Row],[USD]]/$B$1,"")</f>
        <v/>
      </c>
    </row>
    <row r="184" spans="4:11" ht="15.75" x14ac:dyDescent="0.25">
      <c r="D184" s="2">
        <v>183</v>
      </c>
      <c r="E184" s="6"/>
      <c r="F184" s="2"/>
      <c r="G184" s="2"/>
      <c r="H184" s="2"/>
      <c r="I184" s="2" t="str">
        <f t="shared" si="2"/>
        <v/>
      </c>
      <c r="J184" s="3"/>
      <c r="K184" s="5" t="str">
        <f>IFERROR(Tabla3479[[#This Row],[USD]]/$B$1,"")</f>
        <v/>
      </c>
    </row>
    <row r="185" spans="4:11" ht="15.75" x14ac:dyDescent="0.25">
      <c r="D185" s="2">
        <v>184</v>
      </c>
      <c r="E185" s="6"/>
      <c r="F185" s="2"/>
      <c r="G185" s="2"/>
      <c r="H185" s="2"/>
      <c r="I185" s="2" t="str">
        <f t="shared" si="2"/>
        <v/>
      </c>
      <c r="J185" s="3"/>
      <c r="K185" s="5" t="str">
        <f>IFERROR(Tabla3479[[#This Row],[USD]]/$B$1,"")</f>
        <v/>
      </c>
    </row>
    <row r="186" spans="4:11" ht="15.75" x14ac:dyDescent="0.25">
      <c r="D186" s="2">
        <v>185</v>
      </c>
      <c r="E186" s="6"/>
      <c r="F186" s="2"/>
      <c r="G186" s="2"/>
      <c r="H186" s="2"/>
      <c r="I186" s="2" t="str">
        <f t="shared" si="2"/>
        <v/>
      </c>
      <c r="J186" s="3"/>
      <c r="K186" s="5" t="str">
        <f>IFERROR(Tabla3479[[#This Row],[USD]]/$B$1,"")</f>
        <v/>
      </c>
    </row>
    <row r="187" spans="4:11" ht="15.75" x14ac:dyDescent="0.25">
      <c r="D187" s="2">
        <v>186</v>
      </c>
      <c r="E187" s="6"/>
      <c r="F187" s="2"/>
      <c r="G187" s="2"/>
      <c r="H187" s="2"/>
      <c r="I187" s="2" t="str">
        <f t="shared" si="2"/>
        <v/>
      </c>
      <c r="J187" s="3"/>
      <c r="K187" s="5" t="str">
        <f>IFERROR(Tabla3479[[#This Row],[USD]]/$B$1,"")</f>
        <v/>
      </c>
    </row>
    <row r="188" spans="4:11" ht="15.75" x14ac:dyDescent="0.25">
      <c r="D188" s="2">
        <v>187</v>
      </c>
      <c r="E188" s="6"/>
      <c r="F188" s="2"/>
      <c r="G188" s="2"/>
      <c r="H188" s="2"/>
      <c r="I188" s="2" t="str">
        <f t="shared" si="2"/>
        <v/>
      </c>
      <c r="J188" s="3"/>
      <c r="K188" s="5" t="str">
        <f>IFERROR(Tabla3479[[#This Row],[USD]]/$B$1,"")</f>
        <v/>
      </c>
    </row>
    <row r="189" spans="4:11" ht="15.75" x14ac:dyDescent="0.25">
      <c r="D189" s="2">
        <v>188</v>
      </c>
      <c r="E189" s="6"/>
      <c r="F189" s="2"/>
      <c r="G189" s="2"/>
      <c r="H189" s="2"/>
      <c r="I189" s="2" t="str">
        <f t="shared" si="2"/>
        <v/>
      </c>
      <c r="J189" s="3"/>
      <c r="K189" s="5" t="str">
        <f>IFERROR(Tabla3479[[#This Row],[USD]]/$B$1,"")</f>
        <v/>
      </c>
    </row>
    <row r="190" spans="4:11" ht="15.75" x14ac:dyDescent="0.25">
      <c r="D190" s="2">
        <v>189</v>
      </c>
      <c r="E190" s="6"/>
      <c r="F190" s="2"/>
      <c r="G190" s="2"/>
      <c r="H190" s="2"/>
      <c r="I190" s="2" t="str">
        <f t="shared" si="2"/>
        <v/>
      </c>
      <c r="J190" s="3"/>
      <c r="K190" s="5" t="str">
        <f>IFERROR(Tabla3479[[#This Row],[USD]]/$B$1,"")</f>
        <v/>
      </c>
    </row>
    <row r="191" spans="4:11" ht="15.75" x14ac:dyDescent="0.25">
      <c r="D191" s="2">
        <v>190</v>
      </c>
      <c r="E191" s="6"/>
      <c r="F191" s="2"/>
      <c r="G191" s="2"/>
      <c r="H191" s="2"/>
      <c r="I191" s="2" t="str">
        <f t="shared" si="2"/>
        <v/>
      </c>
      <c r="J191" s="3"/>
      <c r="K191" s="5" t="str">
        <f>IFERROR(Tabla3479[[#This Row],[USD]]/$B$1,"")</f>
        <v/>
      </c>
    </row>
    <row r="192" spans="4:11" ht="15.75" x14ac:dyDescent="0.25">
      <c r="D192" s="2">
        <v>191</v>
      </c>
      <c r="E192" s="6"/>
      <c r="F192" s="2"/>
      <c r="G192" s="2"/>
      <c r="H192" s="2"/>
      <c r="I192" s="2" t="str">
        <f t="shared" si="2"/>
        <v/>
      </c>
      <c r="J192" s="3"/>
      <c r="K192" s="5" t="str">
        <f>IFERROR(Tabla3479[[#This Row],[USD]]/$B$1,"")</f>
        <v/>
      </c>
    </row>
    <row r="193" spans="4:11" ht="15.75" x14ac:dyDescent="0.25">
      <c r="D193" s="2">
        <v>192</v>
      </c>
      <c r="E193" s="6"/>
      <c r="F193" s="2"/>
      <c r="G193" s="2"/>
      <c r="H193" s="2"/>
      <c r="I193" s="2" t="str">
        <f t="shared" si="2"/>
        <v/>
      </c>
      <c r="J193" s="3"/>
      <c r="K193" s="5" t="str">
        <f>IFERROR(Tabla3479[[#This Row],[USD]]/$B$1,"")</f>
        <v/>
      </c>
    </row>
    <row r="194" spans="4:11" ht="15.75" x14ac:dyDescent="0.25">
      <c r="D194" s="2">
        <v>193</v>
      </c>
      <c r="E194" s="6"/>
      <c r="F194" s="2"/>
      <c r="G194" s="2"/>
      <c r="H194" s="2"/>
      <c r="I194" s="2" t="str">
        <f t="shared" si="2"/>
        <v/>
      </c>
      <c r="J194" s="3"/>
      <c r="K194" s="5" t="str">
        <f>IFERROR(Tabla3479[[#This Row],[USD]]/$B$1,"")</f>
        <v/>
      </c>
    </row>
    <row r="195" spans="4:11" ht="15.75" x14ac:dyDescent="0.25">
      <c r="D195" s="2">
        <v>194</v>
      </c>
      <c r="E195" s="6"/>
      <c r="F195" s="2"/>
      <c r="G195" s="2"/>
      <c r="H195" s="2"/>
      <c r="I195" s="2" t="str">
        <f t="shared" ref="I195:I258" si="3">IF(J195="","",IF(J195&gt;3,"Ganado",IF(J195&lt;-3,"Perdido","Break Even")))</f>
        <v/>
      </c>
      <c r="J195" s="3"/>
      <c r="K195" s="5" t="str">
        <f>IFERROR(Tabla3479[[#This Row],[USD]]/$B$1,"")</f>
        <v/>
      </c>
    </row>
    <row r="196" spans="4:11" ht="15.75" x14ac:dyDescent="0.25">
      <c r="D196" s="2">
        <v>195</v>
      </c>
      <c r="E196" s="6"/>
      <c r="F196" s="2"/>
      <c r="G196" s="2"/>
      <c r="H196" s="2"/>
      <c r="I196" s="2" t="str">
        <f t="shared" si="3"/>
        <v/>
      </c>
      <c r="J196" s="3"/>
      <c r="K196" s="5" t="str">
        <f>IFERROR(Tabla3479[[#This Row],[USD]]/$B$1,"")</f>
        <v/>
      </c>
    </row>
    <row r="197" spans="4:11" ht="15.75" x14ac:dyDescent="0.25">
      <c r="D197" s="2">
        <v>196</v>
      </c>
      <c r="E197" s="6"/>
      <c r="F197" s="2"/>
      <c r="G197" s="2"/>
      <c r="H197" s="2"/>
      <c r="I197" s="2" t="str">
        <f t="shared" si="3"/>
        <v/>
      </c>
      <c r="J197" s="3"/>
      <c r="K197" s="5" t="str">
        <f>IFERROR(Tabla3479[[#This Row],[USD]]/$B$1,"")</f>
        <v/>
      </c>
    </row>
    <row r="198" spans="4:11" ht="15.75" x14ac:dyDescent="0.25">
      <c r="D198" s="2">
        <v>197</v>
      </c>
      <c r="E198" s="6"/>
      <c r="F198" s="2"/>
      <c r="G198" s="2"/>
      <c r="H198" s="2"/>
      <c r="I198" s="2" t="str">
        <f t="shared" si="3"/>
        <v/>
      </c>
      <c r="J198" s="3"/>
      <c r="K198" s="5" t="str">
        <f>IFERROR(Tabla3479[[#This Row],[USD]]/$B$1,"")</f>
        <v/>
      </c>
    </row>
    <row r="199" spans="4:11" ht="15.75" x14ac:dyDescent="0.25">
      <c r="D199" s="2">
        <v>198</v>
      </c>
      <c r="E199" s="6"/>
      <c r="F199" s="2"/>
      <c r="G199" s="2"/>
      <c r="H199" s="2"/>
      <c r="I199" s="2" t="str">
        <f t="shared" si="3"/>
        <v/>
      </c>
      <c r="J199" s="3"/>
      <c r="K199" s="5" t="str">
        <f>IFERROR(Tabla3479[[#This Row],[USD]]/$B$1,"")</f>
        <v/>
      </c>
    </row>
    <row r="200" spans="4:11" ht="15.75" x14ac:dyDescent="0.25">
      <c r="D200" s="2">
        <v>199</v>
      </c>
      <c r="E200" s="6"/>
      <c r="F200" s="2"/>
      <c r="G200" s="2"/>
      <c r="H200" s="2"/>
      <c r="I200" s="2" t="str">
        <f t="shared" si="3"/>
        <v/>
      </c>
      <c r="J200" s="3"/>
      <c r="K200" s="5" t="str">
        <f>IFERROR(Tabla3479[[#This Row],[USD]]/$B$1,"")</f>
        <v/>
      </c>
    </row>
    <row r="201" spans="4:11" ht="15.75" x14ac:dyDescent="0.25">
      <c r="D201" s="2">
        <v>200</v>
      </c>
      <c r="E201" s="6"/>
      <c r="F201" s="2"/>
      <c r="G201" s="2"/>
      <c r="H201" s="2"/>
      <c r="I201" s="2" t="str">
        <f t="shared" si="3"/>
        <v/>
      </c>
      <c r="J201" s="3"/>
      <c r="K201" s="5" t="str">
        <f>IFERROR(Tabla3479[[#This Row],[USD]]/$B$1,"")</f>
        <v/>
      </c>
    </row>
    <row r="202" spans="4:11" ht="15.75" x14ac:dyDescent="0.25">
      <c r="D202" s="2">
        <v>201</v>
      </c>
      <c r="E202" s="6"/>
      <c r="F202" s="2"/>
      <c r="G202" s="2"/>
      <c r="H202" s="2"/>
      <c r="I202" s="2" t="str">
        <f t="shared" si="3"/>
        <v/>
      </c>
      <c r="J202" s="3"/>
      <c r="K202" s="5" t="str">
        <f>IFERROR(Tabla3479[[#This Row],[USD]]/$B$1,"")</f>
        <v/>
      </c>
    </row>
    <row r="203" spans="4:11" ht="15.75" x14ac:dyDescent="0.25">
      <c r="D203" s="2">
        <v>202</v>
      </c>
      <c r="E203" s="6"/>
      <c r="F203" s="2"/>
      <c r="G203" s="2"/>
      <c r="H203" s="2"/>
      <c r="I203" s="2" t="str">
        <f t="shared" si="3"/>
        <v/>
      </c>
      <c r="J203" s="3"/>
      <c r="K203" s="5" t="str">
        <f>IFERROR(Tabla3479[[#This Row],[USD]]/$B$1,"")</f>
        <v/>
      </c>
    </row>
    <row r="204" spans="4:11" ht="15.75" x14ac:dyDescent="0.25">
      <c r="D204" s="2">
        <v>203</v>
      </c>
      <c r="E204" s="6"/>
      <c r="F204" s="2"/>
      <c r="G204" s="2"/>
      <c r="H204" s="2"/>
      <c r="I204" s="2" t="str">
        <f t="shared" si="3"/>
        <v/>
      </c>
      <c r="J204" s="3"/>
      <c r="K204" s="5" t="str">
        <f>IFERROR(Tabla3479[[#This Row],[USD]]/$B$1,"")</f>
        <v/>
      </c>
    </row>
    <row r="205" spans="4:11" ht="15.75" x14ac:dyDescent="0.25">
      <c r="D205" s="2">
        <v>204</v>
      </c>
      <c r="E205" s="6"/>
      <c r="F205" s="2"/>
      <c r="G205" s="2"/>
      <c r="H205" s="2"/>
      <c r="I205" s="2" t="str">
        <f t="shared" si="3"/>
        <v/>
      </c>
      <c r="J205" s="3"/>
      <c r="K205" s="5" t="str">
        <f>IFERROR(Tabla3479[[#This Row],[USD]]/$B$1,"")</f>
        <v/>
      </c>
    </row>
    <row r="206" spans="4:11" ht="15.75" x14ac:dyDescent="0.25">
      <c r="D206" s="2">
        <v>205</v>
      </c>
      <c r="E206" s="6"/>
      <c r="F206" s="2"/>
      <c r="G206" s="2"/>
      <c r="H206" s="2"/>
      <c r="I206" s="2" t="str">
        <f t="shared" si="3"/>
        <v/>
      </c>
      <c r="J206" s="3"/>
      <c r="K206" s="5" t="str">
        <f>IFERROR(Tabla3479[[#This Row],[USD]]/$B$1,"")</f>
        <v/>
      </c>
    </row>
    <row r="207" spans="4:11" ht="15.75" x14ac:dyDescent="0.25">
      <c r="D207" s="2">
        <v>206</v>
      </c>
      <c r="E207" s="6"/>
      <c r="F207" s="2"/>
      <c r="G207" s="2"/>
      <c r="H207" s="2"/>
      <c r="I207" s="2" t="str">
        <f t="shared" si="3"/>
        <v/>
      </c>
      <c r="J207" s="3"/>
      <c r="K207" s="5" t="str">
        <f>IFERROR(Tabla3479[[#This Row],[USD]]/$B$1,"")</f>
        <v/>
      </c>
    </row>
    <row r="208" spans="4:11" ht="15.75" x14ac:dyDescent="0.25">
      <c r="D208" s="2">
        <v>207</v>
      </c>
      <c r="E208" s="6"/>
      <c r="F208" s="2"/>
      <c r="G208" s="2"/>
      <c r="H208" s="2"/>
      <c r="I208" s="2" t="str">
        <f t="shared" si="3"/>
        <v/>
      </c>
      <c r="J208" s="3"/>
      <c r="K208" s="5" t="str">
        <f>IFERROR(Tabla3479[[#This Row],[USD]]/$B$1,"")</f>
        <v/>
      </c>
    </row>
    <row r="209" spans="4:11" ht="15.75" x14ac:dyDescent="0.25">
      <c r="D209" s="2">
        <v>208</v>
      </c>
      <c r="E209" s="6"/>
      <c r="F209" s="2"/>
      <c r="G209" s="2"/>
      <c r="H209" s="2"/>
      <c r="I209" s="2" t="str">
        <f t="shared" si="3"/>
        <v/>
      </c>
      <c r="J209" s="3"/>
      <c r="K209" s="5" t="str">
        <f>IFERROR(Tabla3479[[#This Row],[USD]]/$B$1,"")</f>
        <v/>
      </c>
    </row>
    <row r="210" spans="4:11" ht="15.75" x14ac:dyDescent="0.25">
      <c r="D210" s="2">
        <v>209</v>
      </c>
      <c r="E210" s="6"/>
      <c r="F210" s="2"/>
      <c r="G210" s="2"/>
      <c r="H210" s="2"/>
      <c r="I210" s="2" t="str">
        <f t="shared" si="3"/>
        <v/>
      </c>
      <c r="J210" s="3"/>
      <c r="K210" s="5" t="str">
        <f>IFERROR(Tabla3479[[#This Row],[USD]]/$B$1,"")</f>
        <v/>
      </c>
    </row>
    <row r="211" spans="4:11" ht="15.75" x14ac:dyDescent="0.25">
      <c r="D211" s="2">
        <v>210</v>
      </c>
      <c r="E211" s="6"/>
      <c r="F211" s="2"/>
      <c r="G211" s="2"/>
      <c r="H211" s="2"/>
      <c r="I211" s="2" t="str">
        <f t="shared" si="3"/>
        <v/>
      </c>
      <c r="J211" s="3"/>
      <c r="K211" s="5" t="str">
        <f>IFERROR(Tabla3479[[#This Row],[USD]]/$B$1,"")</f>
        <v/>
      </c>
    </row>
    <row r="212" spans="4:11" ht="15.75" x14ac:dyDescent="0.25">
      <c r="D212" s="2">
        <v>211</v>
      </c>
      <c r="E212" s="6"/>
      <c r="F212" s="2"/>
      <c r="G212" s="2"/>
      <c r="H212" s="2"/>
      <c r="I212" s="2" t="str">
        <f t="shared" si="3"/>
        <v/>
      </c>
      <c r="J212" s="3"/>
      <c r="K212" s="5" t="str">
        <f>IFERROR(Tabla3479[[#This Row],[USD]]/$B$1,"")</f>
        <v/>
      </c>
    </row>
    <row r="213" spans="4:11" ht="15.75" x14ac:dyDescent="0.25">
      <c r="D213" s="2">
        <v>212</v>
      </c>
      <c r="E213" s="6"/>
      <c r="F213" s="2"/>
      <c r="G213" s="2"/>
      <c r="H213" s="2"/>
      <c r="I213" s="2" t="str">
        <f t="shared" si="3"/>
        <v/>
      </c>
      <c r="J213" s="3"/>
      <c r="K213" s="5" t="str">
        <f>IFERROR(Tabla3479[[#This Row],[USD]]/$B$1,"")</f>
        <v/>
      </c>
    </row>
    <row r="214" spans="4:11" ht="15.75" x14ac:dyDescent="0.25">
      <c r="D214" s="2">
        <v>213</v>
      </c>
      <c r="E214" s="6"/>
      <c r="F214" s="2"/>
      <c r="G214" s="2"/>
      <c r="H214" s="2"/>
      <c r="I214" s="2" t="str">
        <f t="shared" si="3"/>
        <v/>
      </c>
      <c r="J214" s="3"/>
      <c r="K214" s="5" t="str">
        <f>IFERROR(Tabla3479[[#This Row],[USD]]/$B$1,"")</f>
        <v/>
      </c>
    </row>
    <row r="215" spans="4:11" ht="15.75" x14ac:dyDescent="0.25">
      <c r="D215" s="2">
        <v>214</v>
      </c>
      <c r="E215" s="6"/>
      <c r="F215" s="2"/>
      <c r="G215" s="2"/>
      <c r="H215" s="2"/>
      <c r="I215" s="2" t="str">
        <f t="shared" si="3"/>
        <v/>
      </c>
      <c r="J215" s="3"/>
      <c r="K215" s="5" t="str">
        <f>IFERROR(Tabla3479[[#This Row],[USD]]/$B$1,"")</f>
        <v/>
      </c>
    </row>
    <row r="216" spans="4:11" ht="15.75" x14ac:dyDescent="0.25">
      <c r="D216" s="2">
        <v>215</v>
      </c>
      <c r="E216" s="6"/>
      <c r="F216" s="2"/>
      <c r="G216" s="2"/>
      <c r="H216" s="2"/>
      <c r="I216" s="2" t="str">
        <f t="shared" si="3"/>
        <v/>
      </c>
      <c r="J216" s="3"/>
      <c r="K216" s="5" t="str">
        <f>IFERROR(Tabla3479[[#This Row],[USD]]/$B$1,"")</f>
        <v/>
      </c>
    </row>
    <row r="217" spans="4:11" ht="15.75" x14ac:dyDescent="0.25">
      <c r="D217" s="2">
        <v>216</v>
      </c>
      <c r="E217" s="6"/>
      <c r="F217" s="2"/>
      <c r="G217" s="2"/>
      <c r="H217" s="2"/>
      <c r="I217" s="2" t="str">
        <f t="shared" si="3"/>
        <v/>
      </c>
      <c r="J217" s="3"/>
      <c r="K217" s="5" t="str">
        <f>IFERROR(Tabla3479[[#This Row],[USD]]/$B$1,"")</f>
        <v/>
      </c>
    </row>
    <row r="218" spans="4:11" ht="15.75" x14ac:dyDescent="0.25">
      <c r="D218" s="2">
        <v>217</v>
      </c>
      <c r="E218" s="6"/>
      <c r="F218" s="2"/>
      <c r="G218" s="2"/>
      <c r="H218" s="2"/>
      <c r="I218" s="2" t="str">
        <f t="shared" si="3"/>
        <v/>
      </c>
      <c r="J218" s="3"/>
      <c r="K218" s="5" t="str">
        <f>IFERROR(Tabla3479[[#This Row],[USD]]/$B$1,"")</f>
        <v/>
      </c>
    </row>
    <row r="219" spans="4:11" ht="15.75" x14ac:dyDescent="0.25">
      <c r="D219" s="2">
        <v>218</v>
      </c>
      <c r="E219" s="6"/>
      <c r="F219" s="2"/>
      <c r="G219" s="2"/>
      <c r="H219" s="2"/>
      <c r="I219" s="2" t="str">
        <f t="shared" si="3"/>
        <v/>
      </c>
      <c r="J219" s="3"/>
      <c r="K219" s="5" t="str">
        <f>IFERROR(Tabla3479[[#This Row],[USD]]/$B$1,"")</f>
        <v/>
      </c>
    </row>
    <row r="220" spans="4:11" ht="15.75" x14ac:dyDescent="0.25">
      <c r="D220" s="2">
        <v>219</v>
      </c>
      <c r="E220" s="6"/>
      <c r="F220" s="2"/>
      <c r="G220" s="2"/>
      <c r="H220" s="2"/>
      <c r="I220" s="2" t="str">
        <f t="shared" si="3"/>
        <v/>
      </c>
      <c r="J220" s="3"/>
      <c r="K220" s="5" t="str">
        <f>IFERROR(Tabla3479[[#This Row],[USD]]/$B$1,"")</f>
        <v/>
      </c>
    </row>
    <row r="221" spans="4:11" ht="15.75" x14ac:dyDescent="0.25">
      <c r="D221" s="2">
        <v>220</v>
      </c>
      <c r="E221" s="6"/>
      <c r="F221" s="2"/>
      <c r="G221" s="2"/>
      <c r="H221" s="2"/>
      <c r="I221" s="2" t="str">
        <f t="shared" si="3"/>
        <v/>
      </c>
      <c r="J221" s="3"/>
      <c r="K221" s="5" t="str">
        <f>IFERROR(Tabla3479[[#This Row],[USD]]/$B$1,"")</f>
        <v/>
      </c>
    </row>
    <row r="222" spans="4:11" ht="15.75" x14ac:dyDescent="0.25">
      <c r="D222" s="2">
        <v>221</v>
      </c>
      <c r="E222" s="6"/>
      <c r="F222" s="2"/>
      <c r="G222" s="2"/>
      <c r="H222" s="2"/>
      <c r="I222" s="2" t="str">
        <f t="shared" si="3"/>
        <v/>
      </c>
      <c r="J222" s="3"/>
      <c r="K222" s="5" t="str">
        <f>IFERROR(Tabla3479[[#This Row],[USD]]/$B$1,"")</f>
        <v/>
      </c>
    </row>
    <row r="223" spans="4:11" ht="15.75" x14ac:dyDescent="0.25">
      <c r="D223" s="2">
        <v>222</v>
      </c>
      <c r="E223" s="6"/>
      <c r="F223" s="2"/>
      <c r="G223" s="2"/>
      <c r="H223" s="2"/>
      <c r="I223" s="2" t="str">
        <f t="shared" si="3"/>
        <v/>
      </c>
      <c r="J223" s="3"/>
      <c r="K223" s="5" t="str">
        <f>IFERROR(Tabla3479[[#This Row],[USD]]/$B$1,"")</f>
        <v/>
      </c>
    </row>
    <row r="224" spans="4:11" ht="15.75" x14ac:dyDescent="0.25">
      <c r="D224" s="2">
        <v>223</v>
      </c>
      <c r="E224" s="6"/>
      <c r="F224" s="2"/>
      <c r="G224" s="2"/>
      <c r="H224" s="2"/>
      <c r="I224" s="2" t="str">
        <f t="shared" si="3"/>
        <v/>
      </c>
      <c r="J224" s="3"/>
      <c r="K224" s="5" t="str">
        <f>IFERROR(Tabla3479[[#This Row],[USD]]/$B$1,"")</f>
        <v/>
      </c>
    </row>
    <row r="225" spans="4:11" ht="15.75" x14ac:dyDescent="0.25">
      <c r="D225" s="2">
        <v>224</v>
      </c>
      <c r="E225" s="6"/>
      <c r="F225" s="2"/>
      <c r="G225" s="2"/>
      <c r="H225" s="2"/>
      <c r="I225" s="2" t="str">
        <f t="shared" si="3"/>
        <v/>
      </c>
      <c r="J225" s="3"/>
      <c r="K225" s="5" t="str">
        <f>IFERROR(Tabla3479[[#This Row],[USD]]/$B$1,"")</f>
        <v/>
      </c>
    </row>
    <row r="226" spans="4:11" ht="15.75" x14ac:dyDescent="0.25">
      <c r="D226" s="2">
        <v>225</v>
      </c>
      <c r="E226" s="6"/>
      <c r="F226" s="2"/>
      <c r="G226" s="2"/>
      <c r="H226" s="2"/>
      <c r="I226" s="2" t="str">
        <f t="shared" si="3"/>
        <v/>
      </c>
      <c r="J226" s="3"/>
      <c r="K226" s="5" t="str">
        <f>IFERROR(Tabla3479[[#This Row],[USD]]/$B$1,"")</f>
        <v/>
      </c>
    </row>
    <row r="227" spans="4:11" ht="15.75" x14ac:dyDescent="0.25">
      <c r="D227" s="2">
        <v>226</v>
      </c>
      <c r="E227" s="6"/>
      <c r="F227" s="2"/>
      <c r="G227" s="2"/>
      <c r="H227" s="2"/>
      <c r="I227" s="2" t="str">
        <f t="shared" si="3"/>
        <v/>
      </c>
      <c r="J227" s="3"/>
      <c r="K227" s="5" t="str">
        <f>IFERROR(Tabla3479[[#This Row],[USD]]/$B$1,"")</f>
        <v/>
      </c>
    </row>
    <row r="228" spans="4:11" ht="15.75" x14ac:dyDescent="0.25">
      <c r="D228" s="2">
        <v>227</v>
      </c>
      <c r="E228" s="6"/>
      <c r="F228" s="2"/>
      <c r="G228" s="2"/>
      <c r="H228" s="2"/>
      <c r="I228" s="2" t="str">
        <f t="shared" si="3"/>
        <v/>
      </c>
      <c r="J228" s="3"/>
      <c r="K228" s="5" t="str">
        <f>IFERROR(Tabla3479[[#This Row],[USD]]/$B$1,"")</f>
        <v/>
      </c>
    </row>
    <row r="229" spans="4:11" ht="15.75" x14ac:dyDescent="0.25">
      <c r="D229" s="2">
        <v>228</v>
      </c>
      <c r="E229" s="6"/>
      <c r="F229" s="2"/>
      <c r="G229" s="2"/>
      <c r="H229" s="2"/>
      <c r="I229" s="2" t="str">
        <f t="shared" si="3"/>
        <v/>
      </c>
      <c r="J229" s="3"/>
      <c r="K229" s="5" t="str">
        <f>IFERROR(Tabla3479[[#This Row],[USD]]/$B$1,"")</f>
        <v/>
      </c>
    </row>
    <row r="230" spans="4:11" ht="15.75" x14ac:dyDescent="0.25">
      <c r="D230" s="2">
        <v>229</v>
      </c>
      <c r="E230" s="6"/>
      <c r="F230" s="2"/>
      <c r="G230" s="2"/>
      <c r="H230" s="2"/>
      <c r="I230" s="2" t="str">
        <f t="shared" si="3"/>
        <v/>
      </c>
      <c r="J230" s="3"/>
      <c r="K230" s="5" t="str">
        <f>IFERROR(Tabla3479[[#This Row],[USD]]/$B$1,"")</f>
        <v/>
      </c>
    </row>
    <row r="231" spans="4:11" ht="15.75" x14ac:dyDescent="0.25">
      <c r="D231" s="2">
        <v>230</v>
      </c>
      <c r="E231" s="6"/>
      <c r="F231" s="2"/>
      <c r="G231" s="2"/>
      <c r="H231" s="2"/>
      <c r="I231" s="2" t="str">
        <f t="shared" si="3"/>
        <v/>
      </c>
      <c r="J231" s="3"/>
      <c r="K231" s="5" t="str">
        <f>IFERROR(Tabla3479[[#This Row],[USD]]/$B$1,"")</f>
        <v/>
      </c>
    </row>
    <row r="232" spans="4:11" ht="15.75" x14ac:dyDescent="0.25">
      <c r="D232" s="2">
        <v>231</v>
      </c>
      <c r="E232" s="6"/>
      <c r="F232" s="2"/>
      <c r="G232" s="2"/>
      <c r="H232" s="2"/>
      <c r="I232" s="2" t="str">
        <f t="shared" si="3"/>
        <v/>
      </c>
      <c r="J232" s="3"/>
      <c r="K232" s="5" t="str">
        <f>IFERROR(Tabla3479[[#This Row],[USD]]/$B$1,"")</f>
        <v/>
      </c>
    </row>
    <row r="233" spans="4:11" ht="15.75" x14ac:dyDescent="0.25">
      <c r="D233" s="2">
        <v>232</v>
      </c>
      <c r="E233" s="6"/>
      <c r="F233" s="2"/>
      <c r="G233" s="2"/>
      <c r="H233" s="2"/>
      <c r="I233" s="2" t="str">
        <f t="shared" si="3"/>
        <v/>
      </c>
      <c r="J233" s="3"/>
      <c r="K233" s="5" t="str">
        <f>IFERROR(Tabla3479[[#This Row],[USD]]/$B$1,"")</f>
        <v/>
      </c>
    </row>
    <row r="234" spans="4:11" ht="15.75" x14ac:dyDescent="0.25">
      <c r="D234" s="2">
        <v>233</v>
      </c>
      <c r="E234" s="6"/>
      <c r="F234" s="2"/>
      <c r="G234" s="2"/>
      <c r="H234" s="2"/>
      <c r="I234" s="2" t="str">
        <f t="shared" si="3"/>
        <v/>
      </c>
      <c r="J234" s="3"/>
      <c r="K234" s="5" t="str">
        <f>IFERROR(Tabla3479[[#This Row],[USD]]/$B$1,"")</f>
        <v/>
      </c>
    </row>
    <row r="235" spans="4:11" ht="15.75" x14ac:dyDescent="0.25">
      <c r="D235" s="2">
        <v>234</v>
      </c>
      <c r="E235" s="6"/>
      <c r="F235" s="2"/>
      <c r="G235" s="2"/>
      <c r="H235" s="2"/>
      <c r="I235" s="2" t="str">
        <f t="shared" si="3"/>
        <v/>
      </c>
      <c r="J235" s="3"/>
      <c r="K235" s="5" t="str">
        <f>IFERROR(Tabla3479[[#This Row],[USD]]/$B$1,"")</f>
        <v/>
      </c>
    </row>
    <row r="236" spans="4:11" ht="15.75" x14ac:dyDescent="0.25">
      <c r="D236" s="2">
        <v>235</v>
      </c>
      <c r="E236" s="6"/>
      <c r="F236" s="2"/>
      <c r="G236" s="2"/>
      <c r="H236" s="2"/>
      <c r="I236" s="2" t="str">
        <f t="shared" si="3"/>
        <v/>
      </c>
      <c r="J236" s="3"/>
      <c r="K236" s="5" t="str">
        <f>IFERROR(Tabla3479[[#This Row],[USD]]/$B$1,"")</f>
        <v/>
      </c>
    </row>
    <row r="237" spans="4:11" ht="15.75" x14ac:dyDescent="0.25">
      <c r="D237" s="2">
        <v>236</v>
      </c>
      <c r="E237" s="6"/>
      <c r="F237" s="2"/>
      <c r="G237" s="2"/>
      <c r="H237" s="2"/>
      <c r="I237" s="2" t="str">
        <f t="shared" si="3"/>
        <v/>
      </c>
      <c r="J237" s="3"/>
      <c r="K237" s="5" t="str">
        <f>IFERROR(Tabla3479[[#This Row],[USD]]/$B$1,"")</f>
        <v/>
      </c>
    </row>
    <row r="238" spans="4:11" ht="15.75" x14ac:dyDescent="0.25">
      <c r="D238" s="2">
        <v>237</v>
      </c>
      <c r="E238" s="6"/>
      <c r="F238" s="2"/>
      <c r="G238" s="2"/>
      <c r="H238" s="2"/>
      <c r="I238" s="2" t="str">
        <f t="shared" si="3"/>
        <v/>
      </c>
      <c r="J238" s="3"/>
      <c r="K238" s="5" t="str">
        <f>IFERROR(Tabla3479[[#This Row],[USD]]/$B$1,"")</f>
        <v/>
      </c>
    </row>
    <row r="239" spans="4:11" ht="15.75" x14ac:dyDescent="0.25">
      <c r="D239" s="2">
        <v>238</v>
      </c>
      <c r="E239" s="6"/>
      <c r="F239" s="2"/>
      <c r="G239" s="2"/>
      <c r="H239" s="2"/>
      <c r="I239" s="2" t="str">
        <f t="shared" si="3"/>
        <v/>
      </c>
      <c r="J239" s="3"/>
      <c r="K239" s="5" t="str">
        <f>IFERROR(Tabla3479[[#This Row],[USD]]/$B$1,"")</f>
        <v/>
      </c>
    </row>
    <row r="240" spans="4:11" ht="15.75" x14ac:dyDescent="0.25">
      <c r="D240" s="2">
        <v>239</v>
      </c>
      <c r="E240" s="6"/>
      <c r="F240" s="2"/>
      <c r="G240" s="2"/>
      <c r="H240" s="2"/>
      <c r="I240" s="2" t="str">
        <f t="shared" si="3"/>
        <v/>
      </c>
      <c r="J240" s="3"/>
      <c r="K240" s="5" t="str">
        <f>IFERROR(Tabla3479[[#This Row],[USD]]/$B$1,"")</f>
        <v/>
      </c>
    </row>
    <row r="241" spans="4:11" ht="15.75" x14ac:dyDescent="0.25">
      <c r="D241" s="2">
        <v>240</v>
      </c>
      <c r="E241" s="6"/>
      <c r="F241" s="2"/>
      <c r="G241" s="2"/>
      <c r="H241" s="2"/>
      <c r="I241" s="2" t="str">
        <f t="shared" si="3"/>
        <v/>
      </c>
      <c r="J241" s="3"/>
      <c r="K241" s="5" t="str">
        <f>IFERROR(Tabla3479[[#This Row],[USD]]/$B$1,"")</f>
        <v/>
      </c>
    </row>
    <row r="242" spans="4:11" ht="15.75" x14ac:dyDescent="0.25">
      <c r="D242" s="2">
        <v>241</v>
      </c>
      <c r="E242" s="6"/>
      <c r="F242" s="2"/>
      <c r="G242" s="2"/>
      <c r="H242" s="2"/>
      <c r="I242" s="2" t="str">
        <f t="shared" si="3"/>
        <v/>
      </c>
      <c r="J242" s="3"/>
      <c r="K242" s="5" t="str">
        <f>IFERROR(Tabla3479[[#This Row],[USD]]/$B$1,"")</f>
        <v/>
      </c>
    </row>
    <row r="243" spans="4:11" ht="15.75" x14ac:dyDescent="0.25">
      <c r="D243" s="2">
        <v>242</v>
      </c>
      <c r="E243" s="6"/>
      <c r="F243" s="2"/>
      <c r="G243" s="2"/>
      <c r="H243" s="2"/>
      <c r="I243" s="2" t="str">
        <f t="shared" si="3"/>
        <v/>
      </c>
      <c r="J243" s="3"/>
      <c r="K243" s="5" t="str">
        <f>IFERROR(Tabla3479[[#This Row],[USD]]/$B$1,"")</f>
        <v/>
      </c>
    </row>
    <row r="244" spans="4:11" ht="15.75" x14ac:dyDescent="0.25">
      <c r="D244" s="2">
        <v>243</v>
      </c>
      <c r="E244" s="6"/>
      <c r="F244" s="2"/>
      <c r="G244" s="2"/>
      <c r="H244" s="2"/>
      <c r="I244" s="2" t="str">
        <f t="shared" si="3"/>
        <v/>
      </c>
      <c r="J244" s="3"/>
      <c r="K244" s="5" t="str">
        <f>IFERROR(Tabla3479[[#This Row],[USD]]/$B$1,"")</f>
        <v/>
      </c>
    </row>
    <row r="245" spans="4:11" ht="15.75" x14ac:dyDescent="0.25">
      <c r="D245" s="2">
        <v>244</v>
      </c>
      <c r="E245" s="6"/>
      <c r="F245" s="2"/>
      <c r="G245" s="2"/>
      <c r="H245" s="2"/>
      <c r="I245" s="2" t="str">
        <f t="shared" si="3"/>
        <v/>
      </c>
      <c r="J245" s="3"/>
      <c r="K245" s="5" t="str">
        <f>IFERROR(Tabla3479[[#This Row],[USD]]/$B$1,"")</f>
        <v/>
      </c>
    </row>
    <row r="246" spans="4:11" ht="15.75" x14ac:dyDescent="0.25">
      <c r="D246" s="2">
        <v>245</v>
      </c>
      <c r="E246" s="6"/>
      <c r="F246" s="2"/>
      <c r="G246" s="2"/>
      <c r="H246" s="2"/>
      <c r="I246" s="2" t="str">
        <f t="shared" si="3"/>
        <v/>
      </c>
      <c r="J246" s="3"/>
      <c r="K246" s="5" t="str">
        <f>IFERROR(Tabla3479[[#This Row],[USD]]/$B$1,"")</f>
        <v/>
      </c>
    </row>
    <row r="247" spans="4:11" ht="15.75" x14ac:dyDescent="0.25">
      <c r="D247" s="2">
        <v>246</v>
      </c>
      <c r="E247" s="6"/>
      <c r="F247" s="2"/>
      <c r="G247" s="2"/>
      <c r="H247" s="2"/>
      <c r="I247" s="2" t="str">
        <f t="shared" si="3"/>
        <v/>
      </c>
      <c r="J247" s="3"/>
      <c r="K247" s="5" t="str">
        <f>IFERROR(Tabla3479[[#This Row],[USD]]/$B$1,"")</f>
        <v/>
      </c>
    </row>
    <row r="248" spans="4:11" ht="15.75" x14ac:dyDescent="0.25">
      <c r="D248" s="2">
        <v>247</v>
      </c>
      <c r="E248" s="6"/>
      <c r="F248" s="2"/>
      <c r="G248" s="2"/>
      <c r="H248" s="2"/>
      <c r="I248" s="2" t="str">
        <f t="shared" si="3"/>
        <v/>
      </c>
      <c r="J248" s="3"/>
      <c r="K248" s="5" t="str">
        <f>IFERROR(Tabla3479[[#This Row],[USD]]/$B$1,"")</f>
        <v/>
      </c>
    </row>
    <row r="249" spans="4:11" ht="15.75" x14ac:dyDescent="0.25">
      <c r="D249" s="2">
        <v>248</v>
      </c>
      <c r="E249" s="6"/>
      <c r="F249" s="2"/>
      <c r="G249" s="2"/>
      <c r="H249" s="2"/>
      <c r="I249" s="2" t="str">
        <f t="shared" si="3"/>
        <v/>
      </c>
      <c r="J249" s="3"/>
      <c r="K249" s="5" t="str">
        <f>IFERROR(Tabla3479[[#This Row],[USD]]/$B$1,"")</f>
        <v/>
      </c>
    </row>
    <row r="250" spans="4:11" ht="15.75" x14ac:dyDescent="0.25">
      <c r="D250" s="2">
        <v>249</v>
      </c>
      <c r="E250" s="6"/>
      <c r="F250" s="2"/>
      <c r="G250" s="2"/>
      <c r="H250" s="2"/>
      <c r="I250" s="2" t="str">
        <f t="shared" si="3"/>
        <v/>
      </c>
      <c r="J250" s="3"/>
      <c r="K250" s="5" t="str">
        <f>IFERROR(Tabla3479[[#This Row],[USD]]/$B$1,"")</f>
        <v/>
      </c>
    </row>
    <row r="251" spans="4:11" ht="15.75" x14ac:dyDescent="0.25">
      <c r="D251" s="2">
        <v>250</v>
      </c>
      <c r="E251" s="6"/>
      <c r="F251" s="2"/>
      <c r="G251" s="2"/>
      <c r="H251" s="2"/>
      <c r="I251" s="2" t="str">
        <f t="shared" si="3"/>
        <v/>
      </c>
      <c r="J251" s="3"/>
      <c r="K251" s="5" t="str">
        <f>IFERROR(Tabla3479[[#This Row],[USD]]/$B$1,"")</f>
        <v/>
      </c>
    </row>
    <row r="252" spans="4:11" ht="15.75" x14ac:dyDescent="0.25">
      <c r="D252" s="2">
        <v>251</v>
      </c>
      <c r="E252" s="6"/>
      <c r="F252" s="2"/>
      <c r="G252" s="2"/>
      <c r="H252" s="2"/>
      <c r="I252" s="2" t="str">
        <f t="shared" si="3"/>
        <v/>
      </c>
      <c r="J252" s="3"/>
      <c r="K252" s="5" t="str">
        <f>IFERROR(Tabla3479[[#This Row],[USD]]/$B$1,"")</f>
        <v/>
      </c>
    </row>
    <row r="253" spans="4:11" ht="15.75" x14ac:dyDescent="0.25">
      <c r="D253" s="2">
        <v>252</v>
      </c>
      <c r="E253" s="6"/>
      <c r="F253" s="2"/>
      <c r="G253" s="2"/>
      <c r="H253" s="2"/>
      <c r="I253" s="2" t="str">
        <f t="shared" si="3"/>
        <v/>
      </c>
      <c r="J253" s="3"/>
      <c r="K253" s="5" t="str">
        <f>IFERROR(Tabla3479[[#This Row],[USD]]/$B$1,"")</f>
        <v/>
      </c>
    </row>
    <row r="254" spans="4:11" ht="15.75" x14ac:dyDescent="0.25">
      <c r="D254" s="2">
        <v>253</v>
      </c>
      <c r="E254" s="6"/>
      <c r="F254" s="2"/>
      <c r="G254" s="2"/>
      <c r="H254" s="2"/>
      <c r="I254" s="2" t="str">
        <f t="shared" si="3"/>
        <v/>
      </c>
      <c r="J254" s="3"/>
      <c r="K254" s="5" t="str">
        <f>IFERROR(Tabla3479[[#This Row],[USD]]/$B$1,"")</f>
        <v/>
      </c>
    </row>
    <row r="255" spans="4:11" ht="15.75" x14ac:dyDescent="0.25">
      <c r="D255" s="2">
        <v>254</v>
      </c>
      <c r="E255" s="6"/>
      <c r="F255" s="2"/>
      <c r="G255" s="2"/>
      <c r="H255" s="2"/>
      <c r="I255" s="2" t="str">
        <f t="shared" si="3"/>
        <v/>
      </c>
      <c r="J255" s="3"/>
      <c r="K255" s="5" t="str">
        <f>IFERROR(Tabla3479[[#This Row],[USD]]/$B$1,"")</f>
        <v/>
      </c>
    </row>
    <row r="256" spans="4:11" ht="15.75" x14ac:dyDescent="0.25">
      <c r="D256" s="2">
        <v>255</v>
      </c>
      <c r="E256" s="6"/>
      <c r="F256" s="2"/>
      <c r="G256" s="2"/>
      <c r="H256" s="2"/>
      <c r="I256" s="2" t="str">
        <f t="shared" si="3"/>
        <v/>
      </c>
      <c r="J256" s="3"/>
      <c r="K256" s="5" t="str">
        <f>IFERROR(Tabla3479[[#This Row],[USD]]/$B$1,"")</f>
        <v/>
      </c>
    </row>
    <row r="257" spans="4:11" ht="15.75" x14ac:dyDescent="0.25">
      <c r="D257" s="2">
        <v>256</v>
      </c>
      <c r="E257" s="6"/>
      <c r="F257" s="2"/>
      <c r="G257" s="2"/>
      <c r="H257" s="2"/>
      <c r="I257" s="2" t="str">
        <f t="shared" si="3"/>
        <v/>
      </c>
      <c r="J257" s="3"/>
      <c r="K257" s="5" t="str">
        <f>IFERROR(Tabla3479[[#This Row],[USD]]/$B$1,"")</f>
        <v/>
      </c>
    </row>
    <row r="258" spans="4:11" ht="15.75" x14ac:dyDescent="0.25">
      <c r="D258" s="2">
        <v>257</v>
      </c>
      <c r="E258" s="6"/>
      <c r="F258" s="2"/>
      <c r="G258" s="2"/>
      <c r="H258" s="2"/>
      <c r="I258" s="2" t="str">
        <f t="shared" si="3"/>
        <v/>
      </c>
      <c r="J258" s="3"/>
      <c r="K258" s="5" t="str">
        <f>IFERROR(Tabla3479[[#This Row],[USD]]/$B$1,"")</f>
        <v/>
      </c>
    </row>
    <row r="259" spans="4:11" ht="15.75" x14ac:dyDescent="0.25">
      <c r="D259" s="2">
        <v>258</v>
      </c>
      <c r="E259" s="6"/>
      <c r="F259" s="2"/>
      <c r="G259" s="2"/>
      <c r="H259" s="2"/>
      <c r="I259" s="2" t="str">
        <f t="shared" ref="I259:I301" si="4">IF(J259="","",IF(J259&gt;3,"Ganado",IF(J259&lt;-3,"Perdido","Break Even")))</f>
        <v/>
      </c>
      <c r="J259" s="3"/>
      <c r="K259" s="5" t="str">
        <f>IFERROR(Tabla3479[[#This Row],[USD]]/$B$1,"")</f>
        <v/>
      </c>
    </row>
    <row r="260" spans="4:11" ht="15.75" x14ac:dyDescent="0.25">
      <c r="D260" s="2">
        <v>259</v>
      </c>
      <c r="E260" s="6"/>
      <c r="F260" s="2"/>
      <c r="G260" s="2"/>
      <c r="H260" s="2"/>
      <c r="I260" s="2" t="str">
        <f t="shared" si="4"/>
        <v/>
      </c>
      <c r="J260" s="3"/>
      <c r="K260" s="5" t="str">
        <f>IFERROR(Tabla3479[[#This Row],[USD]]/$B$1,"")</f>
        <v/>
      </c>
    </row>
    <row r="261" spans="4:11" ht="15.75" x14ac:dyDescent="0.25">
      <c r="D261" s="2">
        <v>260</v>
      </c>
      <c r="E261" s="6"/>
      <c r="F261" s="2"/>
      <c r="G261" s="2"/>
      <c r="H261" s="2"/>
      <c r="I261" s="2" t="str">
        <f t="shared" si="4"/>
        <v/>
      </c>
      <c r="J261" s="3"/>
      <c r="K261" s="5" t="str">
        <f>IFERROR(Tabla3479[[#This Row],[USD]]/$B$1,"")</f>
        <v/>
      </c>
    </row>
    <row r="262" spans="4:11" ht="15.75" x14ac:dyDescent="0.25">
      <c r="D262" s="2">
        <v>261</v>
      </c>
      <c r="E262" s="6"/>
      <c r="F262" s="2"/>
      <c r="G262" s="2"/>
      <c r="H262" s="2"/>
      <c r="I262" s="2" t="str">
        <f t="shared" si="4"/>
        <v/>
      </c>
      <c r="J262" s="3"/>
      <c r="K262" s="5" t="str">
        <f>IFERROR(Tabla3479[[#This Row],[USD]]/$B$1,"")</f>
        <v/>
      </c>
    </row>
    <row r="263" spans="4:11" ht="15.75" x14ac:dyDescent="0.25">
      <c r="D263" s="2">
        <v>262</v>
      </c>
      <c r="E263" s="6"/>
      <c r="F263" s="2"/>
      <c r="G263" s="2"/>
      <c r="H263" s="2"/>
      <c r="I263" s="2" t="str">
        <f t="shared" si="4"/>
        <v/>
      </c>
      <c r="J263" s="3"/>
      <c r="K263" s="5" t="str">
        <f>IFERROR(Tabla3479[[#This Row],[USD]]/$B$1,"")</f>
        <v/>
      </c>
    </row>
    <row r="264" spans="4:11" ht="15.75" x14ac:dyDescent="0.25">
      <c r="D264" s="2">
        <v>263</v>
      </c>
      <c r="E264" s="6"/>
      <c r="F264" s="2"/>
      <c r="G264" s="2"/>
      <c r="H264" s="2"/>
      <c r="I264" s="2" t="str">
        <f t="shared" si="4"/>
        <v/>
      </c>
      <c r="J264" s="3"/>
      <c r="K264" s="5" t="str">
        <f>IFERROR(Tabla3479[[#This Row],[USD]]/$B$1,"")</f>
        <v/>
      </c>
    </row>
    <row r="265" spans="4:11" ht="15.75" x14ac:dyDescent="0.25">
      <c r="D265" s="2">
        <v>264</v>
      </c>
      <c r="E265" s="6"/>
      <c r="F265" s="2"/>
      <c r="G265" s="2"/>
      <c r="H265" s="2"/>
      <c r="I265" s="2" t="str">
        <f t="shared" si="4"/>
        <v/>
      </c>
      <c r="J265" s="3"/>
      <c r="K265" s="5" t="str">
        <f>IFERROR(Tabla3479[[#This Row],[USD]]/$B$1,"")</f>
        <v/>
      </c>
    </row>
    <row r="266" spans="4:11" ht="15.75" x14ac:dyDescent="0.25">
      <c r="D266" s="2">
        <v>265</v>
      </c>
      <c r="E266" s="6"/>
      <c r="F266" s="2"/>
      <c r="G266" s="2"/>
      <c r="H266" s="2"/>
      <c r="I266" s="2" t="str">
        <f t="shared" si="4"/>
        <v/>
      </c>
      <c r="J266" s="3"/>
      <c r="K266" s="5" t="str">
        <f>IFERROR(Tabla3479[[#This Row],[USD]]/$B$1,"")</f>
        <v/>
      </c>
    </row>
    <row r="267" spans="4:11" ht="15.75" x14ac:dyDescent="0.25">
      <c r="D267" s="2">
        <v>266</v>
      </c>
      <c r="E267" s="6"/>
      <c r="F267" s="2"/>
      <c r="G267" s="2"/>
      <c r="H267" s="2"/>
      <c r="I267" s="2" t="str">
        <f t="shared" si="4"/>
        <v/>
      </c>
      <c r="J267" s="3"/>
      <c r="K267" s="5" t="str">
        <f>IFERROR(Tabla3479[[#This Row],[USD]]/$B$1,"")</f>
        <v/>
      </c>
    </row>
    <row r="268" spans="4:11" ht="15.75" x14ac:dyDescent="0.25">
      <c r="D268" s="2">
        <v>267</v>
      </c>
      <c r="E268" s="6"/>
      <c r="F268" s="2"/>
      <c r="G268" s="2"/>
      <c r="H268" s="2"/>
      <c r="I268" s="2" t="str">
        <f t="shared" si="4"/>
        <v/>
      </c>
      <c r="J268" s="3"/>
      <c r="K268" s="5" t="str">
        <f>IFERROR(Tabla3479[[#This Row],[USD]]/$B$1,"")</f>
        <v/>
      </c>
    </row>
    <row r="269" spans="4:11" ht="15.75" x14ac:dyDescent="0.25">
      <c r="D269" s="2">
        <v>268</v>
      </c>
      <c r="E269" s="6"/>
      <c r="F269" s="2"/>
      <c r="G269" s="2"/>
      <c r="H269" s="2"/>
      <c r="I269" s="2" t="str">
        <f t="shared" si="4"/>
        <v/>
      </c>
      <c r="J269" s="3"/>
      <c r="K269" s="5" t="str">
        <f>IFERROR(Tabla3479[[#This Row],[USD]]/$B$1,"")</f>
        <v/>
      </c>
    </row>
    <row r="270" spans="4:11" ht="15.75" x14ac:dyDescent="0.25">
      <c r="D270" s="2">
        <v>269</v>
      </c>
      <c r="E270" s="6"/>
      <c r="F270" s="2"/>
      <c r="G270" s="2"/>
      <c r="H270" s="2"/>
      <c r="I270" s="2" t="str">
        <f t="shared" si="4"/>
        <v/>
      </c>
      <c r="J270" s="3"/>
      <c r="K270" s="5" t="str">
        <f>IFERROR(Tabla3479[[#This Row],[USD]]/$B$1,"")</f>
        <v/>
      </c>
    </row>
    <row r="271" spans="4:11" ht="15.75" x14ac:dyDescent="0.25">
      <c r="D271" s="2">
        <v>270</v>
      </c>
      <c r="E271" s="6"/>
      <c r="F271" s="2"/>
      <c r="G271" s="2"/>
      <c r="H271" s="2"/>
      <c r="I271" s="2" t="str">
        <f t="shared" si="4"/>
        <v/>
      </c>
      <c r="J271" s="3"/>
      <c r="K271" s="5" t="str">
        <f>IFERROR(Tabla3479[[#This Row],[USD]]/$B$1,"")</f>
        <v/>
      </c>
    </row>
    <row r="272" spans="4:11" ht="15.75" x14ac:dyDescent="0.25">
      <c r="D272" s="2">
        <v>271</v>
      </c>
      <c r="E272" s="6"/>
      <c r="F272" s="2"/>
      <c r="G272" s="2"/>
      <c r="H272" s="2"/>
      <c r="I272" s="2" t="str">
        <f t="shared" si="4"/>
        <v/>
      </c>
      <c r="J272" s="3"/>
      <c r="K272" s="5" t="str">
        <f>IFERROR(Tabla3479[[#This Row],[USD]]/$B$1,"")</f>
        <v/>
      </c>
    </row>
    <row r="273" spans="4:11" ht="15.75" x14ac:dyDescent="0.25">
      <c r="D273" s="2">
        <v>272</v>
      </c>
      <c r="E273" s="6"/>
      <c r="F273" s="2"/>
      <c r="G273" s="2"/>
      <c r="H273" s="2"/>
      <c r="I273" s="2" t="str">
        <f t="shared" si="4"/>
        <v/>
      </c>
      <c r="J273" s="3"/>
      <c r="K273" s="5" t="str">
        <f>IFERROR(Tabla3479[[#This Row],[USD]]/$B$1,"")</f>
        <v/>
      </c>
    </row>
    <row r="274" spans="4:11" ht="15.75" x14ac:dyDescent="0.25">
      <c r="D274" s="2">
        <v>273</v>
      </c>
      <c r="E274" s="6"/>
      <c r="F274" s="2"/>
      <c r="G274" s="2"/>
      <c r="H274" s="2"/>
      <c r="I274" s="2" t="str">
        <f t="shared" si="4"/>
        <v/>
      </c>
      <c r="J274" s="3"/>
      <c r="K274" s="5" t="str">
        <f>IFERROR(Tabla3479[[#This Row],[USD]]/$B$1,"")</f>
        <v/>
      </c>
    </row>
    <row r="275" spans="4:11" ht="15.75" x14ac:dyDescent="0.25">
      <c r="D275" s="2">
        <v>274</v>
      </c>
      <c r="E275" s="6"/>
      <c r="F275" s="2"/>
      <c r="G275" s="2"/>
      <c r="H275" s="2"/>
      <c r="I275" s="2" t="str">
        <f t="shared" si="4"/>
        <v/>
      </c>
      <c r="J275" s="3"/>
      <c r="K275" s="5" t="str">
        <f>IFERROR(Tabla3479[[#This Row],[USD]]/$B$1,"")</f>
        <v/>
      </c>
    </row>
    <row r="276" spans="4:11" ht="15.75" x14ac:dyDescent="0.25">
      <c r="D276" s="2">
        <v>275</v>
      </c>
      <c r="E276" s="6"/>
      <c r="F276" s="2"/>
      <c r="G276" s="2"/>
      <c r="H276" s="2"/>
      <c r="I276" s="2" t="str">
        <f t="shared" si="4"/>
        <v/>
      </c>
      <c r="J276" s="3"/>
      <c r="K276" s="5" t="str">
        <f>IFERROR(Tabla3479[[#This Row],[USD]]/$B$1,"")</f>
        <v/>
      </c>
    </row>
    <row r="277" spans="4:11" ht="15.75" x14ac:dyDescent="0.25">
      <c r="D277" s="2">
        <v>276</v>
      </c>
      <c r="E277" s="6"/>
      <c r="F277" s="2"/>
      <c r="G277" s="2"/>
      <c r="H277" s="2"/>
      <c r="I277" s="2" t="str">
        <f t="shared" si="4"/>
        <v/>
      </c>
      <c r="J277" s="3"/>
      <c r="K277" s="5" t="str">
        <f>IFERROR(Tabla3479[[#This Row],[USD]]/$B$1,"")</f>
        <v/>
      </c>
    </row>
    <row r="278" spans="4:11" ht="15.75" x14ac:dyDescent="0.25">
      <c r="D278" s="2">
        <v>277</v>
      </c>
      <c r="E278" s="6"/>
      <c r="F278" s="2"/>
      <c r="G278" s="2"/>
      <c r="H278" s="2"/>
      <c r="I278" s="2" t="str">
        <f t="shared" si="4"/>
        <v/>
      </c>
      <c r="J278" s="3"/>
      <c r="K278" s="5" t="str">
        <f>IFERROR(Tabla3479[[#This Row],[USD]]/$B$1,"")</f>
        <v/>
      </c>
    </row>
    <row r="279" spans="4:11" ht="15.75" x14ac:dyDescent="0.25">
      <c r="D279" s="2">
        <v>278</v>
      </c>
      <c r="E279" s="6"/>
      <c r="F279" s="2"/>
      <c r="G279" s="2"/>
      <c r="H279" s="2"/>
      <c r="I279" s="2" t="str">
        <f t="shared" si="4"/>
        <v/>
      </c>
      <c r="J279" s="3"/>
      <c r="K279" s="5" t="str">
        <f>IFERROR(Tabla3479[[#This Row],[USD]]/$B$1,"")</f>
        <v/>
      </c>
    </row>
    <row r="280" spans="4:11" ht="15.75" x14ac:dyDescent="0.25">
      <c r="D280" s="2">
        <v>279</v>
      </c>
      <c r="E280" s="6"/>
      <c r="F280" s="2"/>
      <c r="G280" s="2"/>
      <c r="H280" s="2"/>
      <c r="I280" s="2" t="str">
        <f t="shared" si="4"/>
        <v/>
      </c>
      <c r="J280" s="3"/>
      <c r="K280" s="5" t="str">
        <f>IFERROR(Tabla3479[[#This Row],[USD]]/$B$1,"")</f>
        <v/>
      </c>
    </row>
    <row r="281" spans="4:11" ht="15.75" x14ac:dyDescent="0.25">
      <c r="D281" s="2">
        <v>280</v>
      </c>
      <c r="E281" s="6"/>
      <c r="F281" s="2"/>
      <c r="G281" s="2"/>
      <c r="H281" s="2"/>
      <c r="I281" s="2" t="str">
        <f t="shared" si="4"/>
        <v/>
      </c>
      <c r="J281" s="3"/>
      <c r="K281" s="5" t="str">
        <f>IFERROR(Tabla3479[[#This Row],[USD]]/$B$1,"")</f>
        <v/>
      </c>
    </row>
    <row r="282" spans="4:11" ht="15.75" x14ac:dyDescent="0.25">
      <c r="D282" s="2">
        <v>281</v>
      </c>
      <c r="E282" s="6"/>
      <c r="F282" s="2"/>
      <c r="G282" s="2"/>
      <c r="H282" s="2"/>
      <c r="I282" s="2" t="str">
        <f t="shared" si="4"/>
        <v/>
      </c>
      <c r="J282" s="3"/>
      <c r="K282" s="5" t="str">
        <f>IFERROR(Tabla3479[[#This Row],[USD]]/$B$1,"")</f>
        <v/>
      </c>
    </row>
    <row r="283" spans="4:11" ht="15.75" x14ac:dyDescent="0.25">
      <c r="D283" s="2">
        <v>282</v>
      </c>
      <c r="E283" s="6"/>
      <c r="F283" s="2"/>
      <c r="G283" s="2"/>
      <c r="H283" s="2"/>
      <c r="I283" s="2" t="str">
        <f t="shared" si="4"/>
        <v/>
      </c>
      <c r="J283" s="3"/>
      <c r="K283" s="5" t="str">
        <f>IFERROR(Tabla3479[[#This Row],[USD]]/$B$1,"")</f>
        <v/>
      </c>
    </row>
    <row r="284" spans="4:11" ht="15.75" x14ac:dyDescent="0.25">
      <c r="D284" s="2">
        <v>283</v>
      </c>
      <c r="E284" s="6"/>
      <c r="F284" s="2"/>
      <c r="G284" s="2"/>
      <c r="H284" s="2"/>
      <c r="I284" s="2" t="str">
        <f t="shared" si="4"/>
        <v/>
      </c>
      <c r="J284" s="3"/>
      <c r="K284" s="5" t="str">
        <f>IFERROR(Tabla3479[[#This Row],[USD]]/$B$1,"")</f>
        <v/>
      </c>
    </row>
    <row r="285" spans="4:11" ht="15.75" x14ac:dyDescent="0.25">
      <c r="D285" s="2">
        <v>284</v>
      </c>
      <c r="E285" s="6"/>
      <c r="F285" s="2"/>
      <c r="G285" s="2"/>
      <c r="H285" s="2"/>
      <c r="I285" s="2" t="str">
        <f t="shared" si="4"/>
        <v/>
      </c>
      <c r="J285" s="3"/>
      <c r="K285" s="5" t="str">
        <f>IFERROR(Tabla3479[[#This Row],[USD]]/$B$1,"")</f>
        <v/>
      </c>
    </row>
    <row r="286" spans="4:11" ht="15.75" x14ac:dyDescent="0.25">
      <c r="D286" s="2">
        <v>285</v>
      </c>
      <c r="E286" s="6"/>
      <c r="F286" s="2"/>
      <c r="G286" s="2"/>
      <c r="H286" s="2"/>
      <c r="I286" s="2" t="str">
        <f t="shared" si="4"/>
        <v/>
      </c>
      <c r="J286" s="3"/>
      <c r="K286" s="5" t="str">
        <f>IFERROR(Tabla3479[[#This Row],[USD]]/$B$1,"")</f>
        <v/>
      </c>
    </row>
    <row r="287" spans="4:11" ht="15.75" x14ac:dyDescent="0.25">
      <c r="D287" s="2">
        <v>286</v>
      </c>
      <c r="E287" s="2"/>
      <c r="F287" s="2"/>
      <c r="G287" s="2"/>
      <c r="H287" s="2"/>
      <c r="I287" s="2" t="str">
        <f t="shared" si="4"/>
        <v/>
      </c>
      <c r="J287" s="3"/>
      <c r="K287" s="5" t="str">
        <f>IFERROR(Tabla3479[[#This Row],[USD]]/$B$1,"")</f>
        <v/>
      </c>
    </row>
    <row r="288" spans="4:11" ht="15.75" x14ac:dyDescent="0.25">
      <c r="D288" s="2">
        <v>287</v>
      </c>
      <c r="E288" s="2"/>
      <c r="F288" s="2"/>
      <c r="G288" s="2"/>
      <c r="H288" s="2"/>
      <c r="I288" s="2" t="str">
        <f t="shared" si="4"/>
        <v/>
      </c>
      <c r="J288" s="3"/>
      <c r="K288" s="5" t="str">
        <f>IFERROR(Tabla3479[[#This Row],[USD]]/$B$1,"")</f>
        <v/>
      </c>
    </row>
    <row r="289" spans="4:11" ht="15.75" x14ac:dyDescent="0.25">
      <c r="D289" s="2">
        <v>288</v>
      </c>
      <c r="E289" s="2"/>
      <c r="F289" s="2"/>
      <c r="G289" s="2"/>
      <c r="H289" s="2"/>
      <c r="I289" s="2" t="str">
        <f t="shared" si="4"/>
        <v/>
      </c>
      <c r="J289" s="3"/>
      <c r="K289" s="5" t="str">
        <f>IFERROR(Tabla3479[[#This Row],[USD]]/$B$1,"")</f>
        <v/>
      </c>
    </row>
    <row r="290" spans="4:11" ht="15.75" x14ac:dyDescent="0.25">
      <c r="D290" s="2">
        <v>289</v>
      </c>
      <c r="E290" s="2"/>
      <c r="F290" s="2"/>
      <c r="G290" s="2"/>
      <c r="H290" s="2"/>
      <c r="I290" s="2" t="str">
        <f t="shared" si="4"/>
        <v/>
      </c>
      <c r="J290" s="3"/>
      <c r="K290" s="5" t="str">
        <f>IFERROR(Tabla3479[[#This Row],[USD]]/$B$1,"")</f>
        <v/>
      </c>
    </row>
    <row r="291" spans="4:11" ht="15.75" x14ac:dyDescent="0.25">
      <c r="D291" s="2">
        <v>290</v>
      </c>
      <c r="E291" s="2"/>
      <c r="F291" s="2"/>
      <c r="G291" s="2"/>
      <c r="H291" s="2"/>
      <c r="I291" s="2" t="str">
        <f t="shared" si="4"/>
        <v/>
      </c>
      <c r="J291" s="3"/>
      <c r="K291" s="5" t="str">
        <f>IFERROR(Tabla3479[[#This Row],[USD]]/$B$1,"")</f>
        <v/>
      </c>
    </row>
    <row r="292" spans="4:11" ht="15.75" x14ac:dyDescent="0.25">
      <c r="D292" s="2">
        <v>291</v>
      </c>
      <c r="E292" s="2"/>
      <c r="F292" s="2"/>
      <c r="G292" s="2"/>
      <c r="H292" s="2"/>
      <c r="I292" s="2" t="str">
        <f t="shared" si="4"/>
        <v/>
      </c>
      <c r="J292" s="3"/>
      <c r="K292" s="5" t="str">
        <f>IFERROR(Tabla3479[[#This Row],[USD]]/$B$1,"")</f>
        <v/>
      </c>
    </row>
    <row r="293" spans="4:11" ht="15.75" x14ac:dyDescent="0.25">
      <c r="D293" s="2">
        <v>292</v>
      </c>
      <c r="E293" s="2"/>
      <c r="F293" s="2"/>
      <c r="G293" s="2"/>
      <c r="H293" s="2"/>
      <c r="I293" s="2" t="str">
        <f t="shared" si="4"/>
        <v/>
      </c>
      <c r="J293" s="3"/>
      <c r="K293" s="5" t="str">
        <f>IFERROR(Tabla3479[[#This Row],[USD]]/$B$1,"")</f>
        <v/>
      </c>
    </row>
    <row r="294" spans="4:11" ht="15.75" x14ac:dyDescent="0.25">
      <c r="D294" s="2">
        <v>293</v>
      </c>
      <c r="E294" s="2"/>
      <c r="F294" s="2"/>
      <c r="G294" s="2"/>
      <c r="H294" s="2"/>
      <c r="I294" s="2" t="str">
        <f t="shared" si="4"/>
        <v/>
      </c>
      <c r="J294" s="3"/>
      <c r="K294" s="5" t="str">
        <f>IFERROR(Tabla3479[[#This Row],[USD]]/$B$1,"")</f>
        <v/>
      </c>
    </row>
    <row r="295" spans="4:11" ht="15.75" x14ac:dyDescent="0.25">
      <c r="D295" s="2">
        <v>294</v>
      </c>
      <c r="E295" s="2"/>
      <c r="F295" s="2"/>
      <c r="G295" s="2"/>
      <c r="H295" s="2"/>
      <c r="I295" s="2" t="str">
        <f t="shared" si="4"/>
        <v/>
      </c>
      <c r="J295" s="3"/>
      <c r="K295" s="5" t="str">
        <f>IFERROR(Tabla3479[[#This Row],[USD]]/$B$1,"")</f>
        <v/>
      </c>
    </row>
    <row r="296" spans="4:11" ht="15.75" x14ac:dyDescent="0.25">
      <c r="D296" s="2">
        <v>295</v>
      </c>
      <c r="E296" s="2"/>
      <c r="F296" s="2"/>
      <c r="G296" s="2"/>
      <c r="H296" s="2"/>
      <c r="I296" s="2" t="str">
        <f t="shared" si="4"/>
        <v/>
      </c>
      <c r="J296" s="3"/>
      <c r="K296" s="5" t="str">
        <f>IFERROR(Tabla3479[[#This Row],[USD]]/$B$1,"")</f>
        <v/>
      </c>
    </row>
    <row r="297" spans="4:11" ht="15.75" x14ac:dyDescent="0.25">
      <c r="D297" s="2">
        <v>296</v>
      </c>
      <c r="E297" s="2"/>
      <c r="F297" s="2"/>
      <c r="G297" s="2"/>
      <c r="H297" s="2"/>
      <c r="I297" s="2" t="str">
        <f t="shared" si="4"/>
        <v/>
      </c>
      <c r="J297" s="3"/>
      <c r="K297" s="5" t="str">
        <f>IFERROR(Tabla3479[[#This Row],[USD]]/$B$1,"")</f>
        <v/>
      </c>
    </row>
    <row r="298" spans="4:11" ht="15.75" x14ac:dyDescent="0.25">
      <c r="D298" s="2">
        <v>297</v>
      </c>
      <c r="E298" s="2"/>
      <c r="F298" s="2"/>
      <c r="G298" s="2"/>
      <c r="H298" s="2"/>
      <c r="I298" s="2" t="str">
        <f t="shared" si="4"/>
        <v/>
      </c>
      <c r="J298" s="3"/>
      <c r="K298" s="5" t="str">
        <f>IFERROR(Tabla3479[[#This Row],[USD]]/$B$1,"")</f>
        <v/>
      </c>
    </row>
    <row r="299" spans="4:11" ht="15.75" x14ac:dyDescent="0.25">
      <c r="D299" s="2">
        <v>298</v>
      </c>
      <c r="E299" s="2"/>
      <c r="F299" s="2"/>
      <c r="G299" s="2"/>
      <c r="H299" s="2"/>
      <c r="I299" s="2" t="str">
        <f t="shared" si="4"/>
        <v/>
      </c>
      <c r="J299" s="3"/>
      <c r="K299" s="5" t="str">
        <f>IFERROR(Tabla3479[[#This Row],[USD]]/$B$1,"")</f>
        <v/>
      </c>
    </row>
    <row r="300" spans="4:11" ht="15.75" x14ac:dyDescent="0.25">
      <c r="D300" s="2">
        <v>299</v>
      </c>
      <c r="E300" s="2"/>
      <c r="F300" s="2"/>
      <c r="G300" s="2"/>
      <c r="H300" s="2"/>
      <c r="I300" s="2" t="str">
        <f t="shared" si="4"/>
        <v/>
      </c>
      <c r="J300" s="3"/>
      <c r="K300" s="5" t="str">
        <f>IFERROR(Tabla3479[[#This Row],[USD]]/$B$1,"")</f>
        <v/>
      </c>
    </row>
    <row r="301" spans="4:11" ht="15.75" x14ac:dyDescent="0.25">
      <c r="D301" s="2">
        <v>300</v>
      </c>
      <c r="E301" s="2"/>
      <c r="F301" s="2"/>
      <c r="G301" s="2"/>
      <c r="H301" s="2"/>
      <c r="I301" s="2" t="str">
        <f t="shared" si="4"/>
        <v/>
      </c>
      <c r="J301" s="3"/>
      <c r="K301" s="5" t="str">
        <f>IFERROR(Tabla3479[[#This Row],[USD]]/$B$1,"")</f>
        <v/>
      </c>
    </row>
    <row r="397" spans="18:34" ht="18.75" customHeight="1" x14ac:dyDescent="0.25">
      <c r="R397" s="86" t="s">
        <v>26</v>
      </c>
      <c r="S397" s="86"/>
      <c r="T397" s="86"/>
      <c r="U397" s="86"/>
      <c r="V397" s="86"/>
      <c r="X397" s="83" t="s">
        <v>28</v>
      </c>
      <c r="Y397" s="83"/>
      <c r="Z397" s="83"/>
      <c r="AA397" s="83"/>
      <c r="AB397" s="83"/>
      <c r="AD397" s="84" t="s">
        <v>27</v>
      </c>
      <c r="AE397" s="84"/>
      <c r="AF397" s="84"/>
      <c r="AG397" s="84"/>
      <c r="AH397" s="84"/>
    </row>
    <row r="398" spans="18:34" ht="15.75" customHeight="1" x14ac:dyDescent="0.25">
      <c r="R398" s="86"/>
      <c r="S398" s="86"/>
      <c r="T398" s="86"/>
      <c r="U398" s="86"/>
      <c r="V398" s="86"/>
      <c r="X398" s="83"/>
      <c r="Y398" s="83"/>
      <c r="Z398" s="83"/>
      <c r="AA398" s="83"/>
      <c r="AB398" s="83"/>
      <c r="AD398" s="84"/>
      <c r="AE398" s="84"/>
      <c r="AF398" s="84"/>
      <c r="AG398" s="84"/>
      <c r="AH398" s="84"/>
    </row>
    <row r="401" spans="18:34" ht="15.75" x14ac:dyDescent="0.25">
      <c r="R401" s="27" t="str">
        <f>IFERROR((COUNTIFS(I401:I1398,"100x",J401:J1398,"Ida",L401:L1398,"Ganado")+(COUNTIFS(I401:I1398,"100x",J401:J1398,"Ida",L401:L1398,"Break Even")))/(COUNTIFS(I401:I1398,"100x",J401:J1398,"Ida")),"Sin Datos")</f>
        <v>Sin Datos</v>
      </c>
      <c r="S401" s="27" t="str">
        <f>IFERROR((COUNTIFS(I401:I1398,"100x",J401:J1398,"Vuelta",L401:L1398,"Ganado")+(COUNTIFS(I401:I1398,"100x",J401:J1398,"Vuelta",L401:L1398,"Break Even")))/(COUNTIFS(I401:I1398,"100x",J401:J1398,"Vuelta")),"Sin Datos")</f>
        <v>Sin Datos</v>
      </c>
      <c r="T401" s="27" t="str">
        <f>IFERROR((COUNTIFS(I401:I1398,"100x",K401:K1398,"Long",L401:L1398,"Ganado")+(COUNTIFS(I401:I1398,"100x",K401:K1398,"Long",L401:L1398,"Break Even")))/(COUNTIFS(I401:I1398,"100x",K401:K1398,"Long")),"Sin Datos")</f>
        <v>Sin Datos</v>
      </c>
      <c r="U401" s="27" t="str">
        <f>IFERROR((COUNTIFS(I401:I1398,"100x",K401:K1398,"Short",L401:L1398,"Ganado")+(COUNTIFS(I401:I1398,"100x",K401:K1398,"Short",L401:L1398,"Break Even")))/(COUNTIFS(I401:I1398,"100x",K401:K1398,"Short")),"Sin Datos")</f>
        <v>Sin Datos</v>
      </c>
      <c r="V401" s="4" t="str">
        <f>IFERROR((COUNTIFS(I401:I1398,"100x",L401:L1398,"Ganado")+(COUNTIFS(I401:I1398,"100x",L401:L1398,"Break Even")))/(Q401),"Sin Datos")</f>
        <v>Sin Datos</v>
      </c>
      <c r="X401" s="27" t="str">
        <f>IFERROR((COUNTIFS(O401:O1398,"100x",P401:P1398,"Ida",R401:R1398,"Ganado"))/(COUNTIFS(O401:O1398,"100x",P401:P1398,"Ida")-(COUNTIFS(O401:O1398,"100x",P401:P1398,"Ida",R401:R1398,"Break Even"))),"Sin Datos")</f>
        <v>Sin Datos</v>
      </c>
      <c r="Y401" s="27" t="str">
        <f>IFERROR((COUNTIFS(O401:O1398,"100x",P401:P1398,"Vuelta",R401:R1398,"Ganado"))/(COUNTIFS(O401:O1398,"100x",P401:P1398,"Vuelta")-(COUNTIFS(O401:O1398,"100x",P401:P1398,"Vuelta",R401:R1398,"Break Even"))),"Sin Datos")</f>
        <v>Sin Datos</v>
      </c>
      <c r="Z401" s="27" t="str">
        <f>IFERROR((COUNTIFS(O401:O1398,"100x",Q401:Q1398,"Long",R401:R1398,"Ganado"))/(COUNTIFS(O401:O1398,"100x",Q401:Q1398,"Long")-(COUNTIFS(O401:O1398,"100x",Q401:Q1398,"Long",R401:R1398,"Break Even"))),"Sin Datos")</f>
        <v>Sin Datos</v>
      </c>
      <c r="AA401" s="27" t="str">
        <f>IFERROR((COUNTIFS(O401:O1398,"100x",Q401:Q1398,"Short",R401:R1398,"Ganado"))/(COUNTIFS(O401:O1398,"100x",Q401:Q1398,"Short")-(COUNTIFS(O401:O1398,"100x",Q401:Q1398,"Short",R401:R1398,"Break Even"))),"Sin Datos")</f>
        <v>Sin Datos</v>
      </c>
      <c r="AB401" s="4" t="str">
        <f>IFERROR((COUNTIFS(O401:O1398,"100x",R401:R1398,"Ganado"))/((W401)-(COUNTIFS(O401:O1398,"100x",R401:R1398,"Break Even"))),"Sin Datos")</f>
        <v>Sin Datos</v>
      </c>
      <c r="AD401" s="27" t="str">
        <f>IFERROR((COUNTIFS(U401:U1398,"100x",V401:V1398,"Ida",X401:X1398,"Ganado"))/(COUNTIFS(U401:U1398,"100x",V401:V1398,"Ida")),"Sin Datos")</f>
        <v>Sin Datos</v>
      </c>
      <c r="AE401" s="27" t="str">
        <f>IFERROR((COUNTIFS(U401:U1398,"100x",V401:V1398,"Vuelta",X401:X1398,"Ganado"))/(COUNTIFS(U401:U1398,"100x",V401:V1398,"Vuelta")),"Sin Datos")</f>
        <v>Sin Datos</v>
      </c>
      <c r="AF401" s="27" t="str">
        <f>IFERROR((COUNTIFS(U401:U1398,"100x",W401:W1398,"Long",X401:X1398,"Ganado"))/(COUNTIFS(U401:U1398,"100x",W401:W1398,"Long")),"Sin Datos")</f>
        <v>Sin Datos</v>
      </c>
      <c r="AG401" s="27" t="str">
        <f>IFERROR((COUNTIFS(U401:U1398,"100x",W401:W1398,"Short",X401:X1398,"Ganado"))/(COUNTIFS(U401:U1398,"100x",W401:W1398,"Short")),"Sin Datos")</f>
        <v>Sin Datos</v>
      </c>
      <c r="AH401" s="4" t="str">
        <f>IFERROR((COUNTIFS(U401:U1398,"100x",X401:X1398,"Ganado"))/(AC401),"Sin Datos")</f>
        <v>Sin Datos</v>
      </c>
    </row>
    <row r="402" spans="18:34" ht="15.75" x14ac:dyDescent="0.25">
      <c r="R402" s="27" t="str">
        <f>IFERROR((COUNTIFS(I401:I1398,"50x",J401:J1398,"Ida",L401:L1398,"Ganado")+(COUNTIFS(I401:I1398,"50x",J401:J1398,"Ida",L401:L1398,"Break Even")))/(COUNTIFS(I401:I1398,"50x",J401:J1398,"Ida")),"Sin Datos")</f>
        <v>Sin Datos</v>
      </c>
      <c r="S402" s="27" t="str">
        <f>IFERROR((COUNTIFS(I401:I1398,"50x",J401:J1398,"Vuelta",L401:L1398,"Ganado")+(COUNTIFS(I401:I1398,"50x",J401:J1398,"Vuelta",L401:L1398,"Break Even")))/(COUNTIFS(I401:I1398,"50x",J401:J1398,"Vuelta")),"Sin Datos")</f>
        <v>Sin Datos</v>
      </c>
      <c r="T402" s="27" t="str">
        <f>IFERROR((COUNTIFS(I401:I1398,"50x",K401:K1398,"Long",L401:L1398,"Ganado")+(COUNTIFS(I401:I1398,"50x",K401:K1398,"Long",L401:L1398,"Break Even")))/(COUNTIFS(I401:I1398,"50x",K401:K1398,"Long")),"Sin Datos")</f>
        <v>Sin Datos</v>
      </c>
      <c r="U402" s="27" t="str">
        <f>IFERROR((COUNTIFS(I401:I1398,"50x",K401:K1398,"Short",L401:L1398,"Ganado")+(COUNTIFS(I401:I1398,"50x",K401:K1398,"Short",L401:L1398,"Break Even")))/(COUNTIFS(I401:I1398,"50x",K401:K1398,"Short")),"Sin Datos")</f>
        <v>Sin Datos</v>
      </c>
      <c r="V402" s="4" t="str">
        <f>IFERROR((COUNTIFS(I401:I1398,"50x",L401:L1398,"Ganado")+(COUNTIFS(I401:I1398,"50x",L401:L1398,"Break Even")))/(Q402),"Sin Datos")</f>
        <v>Sin Datos</v>
      </c>
      <c r="X402" s="27" t="str">
        <f>IFERROR((COUNTIFS(O401:O1398,"50x",P401:P1398,"Ida",R401:R1398,"Ganado"))/(COUNTIFS(O401:O1398,"50x",P401:P1398,"Ida")-(COUNTIFS(O401:O1398,"50x",P401:P1398,"Ida",R401:R1398,"Break Even"))),"Sin Datos")</f>
        <v>Sin Datos</v>
      </c>
      <c r="Y402" s="27" t="str">
        <f>IFERROR((COUNTIFS(O401:O1398,"50x",P401:P1398,"Vuelta",R401:R1398,"Ganado"))/(COUNTIFS(O401:O1398,"50x",P401:P1398,"Vuelta")-(COUNTIFS(O401:O1398,"50x",P401:P1398,"Vuelta",R401:R1398,"Break Even"))),"Sin Datos")</f>
        <v>Sin Datos</v>
      </c>
      <c r="Z402" s="27" t="str">
        <f>IFERROR((COUNTIFS(O401:O1398,"50x",Q401:Q1398,"Long",R401:R1398,"Ganado"))/(COUNTIFS(O401:O1398,"50x",Q401:Q1398,"Long")-(COUNTIFS(O401:O1398,"50x",Q401:Q1398,"Long",R401:R1398,"Break Even"))),"Sin Datos")</f>
        <v>Sin Datos</v>
      </c>
      <c r="AA402" s="27" t="str">
        <f>IFERROR((COUNTIFS(O401:O1398,"50x",Q401:Q1398,"Short",R401:R1398,"Ganado"))/(COUNTIFS(O401:O1398,"50x",Q401:Q1398,"Short")-(COUNTIFS(O401:O1398,"50x",Q401:Q1398,"Short",R401:R1398,"Break Even"))),"Sin Datos")</f>
        <v>Sin Datos</v>
      </c>
      <c r="AB402" s="4" t="str">
        <f>IFERROR((COUNTIFS(O401:O1398,"50x",R401:R1398,"Ganado"))/((W402)-(COUNTIFS(O401:O1398,"50x",R401:R1398,"Break Even"))),"Sin Datos")</f>
        <v>Sin Datos</v>
      </c>
      <c r="AD402" s="27" t="str">
        <f>IFERROR((COUNTIFS(U401:U1398,"50x",V401:V1398,"Ida",X401:X1398,"Ganado"))/(COUNTIFS(U401:U1398,"50x",V401:V1398,"Ida")),"Sin Datos")</f>
        <v>Sin Datos</v>
      </c>
      <c r="AE402" s="27" t="str">
        <f>IFERROR((COUNTIFS(U401:U1398,"50x",V401:V1398,"Vuelta",X401:X1398,"Ganado"))/(COUNTIFS(U401:U1398,"50x",V401:V1398,"Vuelta")),"Sin Datos")</f>
        <v>Sin Datos</v>
      </c>
      <c r="AF402" s="27" t="str">
        <f>IFERROR((COUNTIFS(U401:U1398,"50x",W401:W1398,"Long",X401:X1398,"Ganado"))/(COUNTIFS(U401:U1398,"50x",W401:W1398,"Long")),"Sin Datos")</f>
        <v>Sin Datos</v>
      </c>
      <c r="AG402" s="27" t="str">
        <f>IFERROR((COUNTIFS(U401:U1398,"50x",W401:W1398,"Short",X401:X1398,"Ganado"))/(COUNTIFS(U401:U1398,"50x",W401:W1398,"Short")),"Sin Datos")</f>
        <v>Sin Datos</v>
      </c>
      <c r="AH402" s="4" t="str">
        <f>IFERROR((COUNTIFS(U401:U1398,"50x",X401:X1398,"Ganado"))/(AC402),"Sin Datos")</f>
        <v>Sin Datos</v>
      </c>
    </row>
    <row r="403" spans="18:34" ht="15.75" x14ac:dyDescent="0.25">
      <c r="R403" s="27" t="str">
        <f>IFERROR((COUNTIFS(I401:I1398,"25x",J401:J1398,"Ida",L401:L1398,"Ganado")+(COUNTIFS(I401:I1398,"25x",J401:J1398,"Ida",L401:L1398,"Break Even")))/(COUNTIFS(I401:I1398,"25x",J401:J1398,"Ida")),"Sin Datos")</f>
        <v>Sin Datos</v>
      </c>
      <c r="S403" s="27" t="str">
        <f>IFERROR((COUNTIFS(I401:I1398,"25x",J401:J1398,"Vuelta",L401:L1398,"Ganado")+(COUNTIFS(I401:I1398,"25x",J401:J1398,"Vuelta",L401:L1398,"Break Even")))/(COUNTIFS(I401:I1398,"25x",J401:J1398,"Vuelta")),"Sin Datos")</f>
        <v>Sin Datos</v>
      </c>
      <c r="T403" s="27" t="str">
        <f>IFERROR((COUNTIFS(I401:I1398,"25x",K401:K1398,"Long",L401:L1398,"Ganado")+(COUNTIFS(I401:I1398,"25x",K401:K1398,"Long",L401:L1398,"Break Even")))/(COUNTIFS(I401:I1398,"25x",K401:K1398,"Long")),"Sin Datos")</f>
        <v>Sin Datos</v>
      </c>
      <c r="U403" s="27" t="str">
        <f>IFERROR((COUNTIFS(I401:I1398,"25x",K401:K1398,"Short",L401:L1398,"Ganado")+(COUNTIFS(I401:I1398,"25x",K401:K1398,"Short",L401:L1398,"Break Even")))/(COUNTIFS(I401:I1398,"25x",K401:K1398,"Short")),"Sin Datos")</f>
        <v>Sin Datos</v>
      </c>
      <c r="V403" s="4" t="str">
        <f>IFERROR((COUNTIFS(I401:I1398,"25x",L401:L1398,"Ganado")+(COUNTIFS(I401:I1398,"25x",L401:L1398,"Break Even")))/(Q403),"Sin Datos")</f>
        <v>Sin Datos</v>
      </c>
      <c r="X403" s="27" t="str">
        <f>IFERROR((COUNTIFS(O401:O1398,"25x",P401:P1398,"Ida",R401:R1398,"Ganado"))/(COUNTIFS(O401:O1398,"25x",P401:P1398,"Ida")-(COUNTIFS(O401:O1398,"25x",P401:P1398,"Ida",R401:R1398,"Break Even"))),"Sin Datos")</f>
        <v>Sin Datos</v>
      </c>
      <c r="Y403" s="27" t="str">
        <f>IFERROR((COUNTIFS(O401:O1398,"25x",P401:P1398,"Vuelta",R401:R1398,"Ganado"))/(COUNTIFS(O401:O1398,"25x",P401:P1398,"Vuelta")-(COUNTIFS(O401:O1398,"25x",P401:P1398,"Vuelta",R401:R1398,"Break Even"))),"Sin Datos")</f>
        <v>Sin Datos</v>
      </c>
      <c r="Z403" s="27" t="str">
        <f>IFERROR((COUNTIFS(O401:O1398,"25x",Q401:Q1398,"Long",R401:R1398,"Ganado"))/(COUNTIFS(O401:O1398,"25x",Q401:Q1398,"Long")-(COUNTIFS(O401:O1398,"25x",Q401:Q1398,"Long",R401:R1398,"Break Even"))),"Sin Datos")</f>
        <v>Sin Datos</v>
      </c>
      <c r="AA403" s="27" t="str">
        <f>IFERROR((COUNTIFS(O401:O1398,"25x",Q401:Q1398,"Short",R401:R1398,"Ganado"))/(COUNTIFS(O401:O1398,"25x",Q401:Q1398,"Short")-(COUNTIFS(O401:O1398,"25x",Q401:Q1398,"Short",R401:R1398,"Break Even"))),"Sin Datos")</f>
        <v>Sin Datos</v>
      </c>
      <c r="AB403" s="4" t="str">
        <f>IFERROR((COUNTIFS(O401:O1398,"25x",R401:R1398,"Ganado"))/((W403)-(COUNTIFS(O401:O1398,"25x",R401:R1398,"Break Even"))),"Sin Datos")</f>
        <v>Sin Datos</v>
      </c>
      <c r="AD403" s="27" t="str">
        <f>IFERROR((COUNTIFS(U401:U1398,"25x",V401:V1398,"Ida",X401:X1398,"Ganado"))/(COUNTIFS(U401:U1398,"25x",V401:V1398,"Ida")),"Sin Datos")</f>
        <v>Sin Datos</v>
      </c>
      <c r="AE403" s="27" t="str">
        <f>IFERROR((COUNTIFS(U401:U1398,"25x",V401:V1398,"Vuelta",X401:X1398,"Ganado"))/(COUNTIFS(U401:U1398,"25x",V401:V1398,"Vuelta")),"Sin Datos")</f>
        <v>Sin Datos</v>
      </c>
      <c r="AF403" s="27" t="str">
        <f>IFERROR((COUNTIFS(U401:U1398,"25x",W401:W1398,"Long",X401:X1398,"Ganado"))/(COUNTIFS(U401:U1398,"25x",W401:W1398,"Long")),"Sin Datos")</f>
        <v>Sin Datos</v>
      </c>
      <c r="AG403" s="27" t="str">
        <f>IFERROR((COUNTIFS(U401:U1398,"25x",W401:W1398,"Short",X401:X1398,"Ganado"))/(COUNTIFS(U401:U1398,"25x",W401:W1398,"Short")),"Sin Datos")</f>
        <v>Sin Datos</v>
      </c>
      <c r="AH403" s="4" t="str">
        <f>IFERROR((COUNTIFS(U401:U1398,"25x",X401:X1398,"Ganado"))/(AC403),"Sin Datos")</f>
        <v>Sin Datos</v>
      </c>
    </row>
    <row r="404" spans="18:34" ht="15.75" x14ac:dyDescent="0.25">
      <c r="R404" s="27" t="str">
        <f>IFERROR((COUNTIFS(I401:I1398,"10x",J401:J1398,"Ida",L401:L1398,"Ganado")+(COUNTIFS(I401:I1398,"10x",J401:J1398,"Ida",L401:L1398,"Break Even")))/(COUNTIFS(I401:I1398,"10x",J401:J1398,"Ida")),"Sin Datos")</f>
        <v>Sin Datos</v>
      </c>
      <c r="S404" s="27" t="str">
        <f>IFERROR((COUNTIFS(I401:I1398,"10x",J401:J1398,"Vuelta",L401:L1398,"Ganado")+(COUNTIFS(I401:I1398,"10x",J401:J1398,"Vuelta",L401:L1398,"Break Even")))/(COUNTIFS(I401:I1398,"10x",J401:J1398,"Vuelta")),"Sin Datos")</f>
        <v>Sin Datos</v>
      </c>
      <c r="T404" s="27" t="str">
        <f>IFERROR((COUNTIFS(I401:I1398,"10x",K401:K1398,"Long",L401:L1398,"Ganado")+(COUNTIFS(I401:I1398,"10x",K401:K1398,"Long",L401:L1398,"Break Even")))/(COUNTIFS(I401:I1398,"10x",K401:K1398,"Long")),"Sin Datos")</f>
        <v>Sin Datos</v>
      </c>
      <c r="U404" s="27" t="str">
        <f>IFERROR((COUNTIFS(I401:I1398,"10x",K401:K1398,"Short",L401:L1398,"Ganado")+(COUNTIFS(I401:I1398,"10x",K401:K1398,"Short",L401:L1398,"Break Even")))/(COUNTIFS(I401:I1398,"10x",K401:K1398,"Short")),"Sin Datos")</f>
        <v>Sin Datos</v>
      </c>
      <c r="V404" s="4" t="str">
        <f>IFERROR((COUNTIFS(I401:I1398,"10x",L401:L1398,"Ganado")+(COUNTIFS(I401:I1398,"10x",L401:L1398,"Break Even")))/(Q404),"Sin Datos")</f>
        <v>Sin Datos</v>
      </c>
      <c r="X404" s="27" t="str">
        <f>IFERROR((COUNTIFS(O401:O1398,"10x",P401:P1398,"Ida",R401:R1398,"Ganado"))/(COUNTIFS(O401:O1398,"10x",P401:P1398,"Ida")-(COUNTIFS(O401:O1398,"10x",P401:P1398,"Ida",R401:R1398,"Break Even"))),"Sin Datos")</f>
        <v>Sin Datos</v>
      </c>
      <c r="Y404" s="27" t="str">
        <f>IFERROR((COUNTIFS(O401:O1398,"10x",P401:P1398,"Vuelta",R401:R1398,"Ganado"))/(COUNTIFS(O401:O1398,"10x",P401:P1398,"Vuelta")-(COUNTIFS(O401:O1398,"10x",P401:P1398,"Vuelta",R401:R1398,"Break Even"))),"Sin Datos")</f>
        <v>Sin Datos</v>
      </c>
      <c r="Z404" s="27" t="str">
        <f>IFERROR((COUNTIFS(O401:O1398,"10x",Q401:Q1398,"Long",R401:R1398,"Ganado"))/(COUNTIFS(O401:O1398,"10x",Q401:Q1398,"Long")-(COUNTIFS(O401:O1398,"10x",Q401:Q1398,"Long",R401:R1398,"Break Even"))),"Sin Datos")</f>
        <v>Sin Datos</v>
      </c>
      <c r="AA404" s="27" t="str">
        <f>IFERROR((COUNTIFS(O401:O1398,"10x",Q401:Q1398,"Short",R401:R1398,"Ganado"))/(COUNTIFS(O401:O1398,"10x",Q401:Q1398,"Short")-(COUNTIFS(O401:O1398,"10x",Q401:Q1398,"Short",R401:R1398,"Break Even"))),"Sin Datos")</f>
        <v>Sin Datos</v>
      </c>
      <c r="AB404" s="4" t="str">
        <f>IFERROR((COUNTIFS(O401:O1398,"10x",R401:R1398,"Ganado"))/((W404)-(COUNTIFS(O401:O1398,"10x",R401:R1398,"Break Even"))),"Sin Datos")</f>
        <v>Sin Datos</v>
      </c>
      <c r="AD404" s="27" t="str">
        <f>IFERROR((COUNTIFS(U401:U1398,"10x",V401:V1398,"Ida",X401:X1398,"Ganado"))/(COUNTIFS(U401:U1398,"10x",V401:V1398,"Ida")),"Sin Datos")</f>
        <v>Sin Datos</v>
      </c>
      <c r="AE404" s="27" t="str">
        <f>IFERROR((COUNTIFS(U401:U1398,"10x",V401:V1398,"Vuelta",X401:X1398,"Ganado"))/(COUNTIFS(U401:U1398,"10x",V401:V1398,"Vuelta")),"Sin Datos")</f>
        <v>Sin Datos</v>
      </c>
      <c r="AF404" s="27" t="str">
        <f>IFERROR((COUNTIFS(U401:U1398,"10x",W401:W1398,"Long",X401:X1398,"Ganado"))/(COUNTIFS(U401:U1398,"10x",W401:W1398,"Long")),"Sin Datos")</f>
        <v>Sin Datos</v>
      </c>
      <c r="AG404" s="27" t="str">
        <f>IFERROR((COUNTIFS(U401:U1398,"10x",W401:W1398,"Short",X401:X1398,"Ganado"))/(COUNTIFS(U401:U1398,"10x",W401:W1398,"Short")),"Sin Datos")</f>
        <v>Sin Datos</v>
      </c>
      <c r="AH404" s="4" t="str">
        <f>IFERROR((COUNTIFS(U401:U1398,"10x",X401:X1398,"Ganado"))/(AC404),"Sin Datos")</f>
        <v>Sin Datos</v>
      </c>
    </row>
    <row r="405" spans="18:34" ht="15.75" x14ac:dyDescent="0.25">
      <c r="R405" s="27" t="str">
        <f>IFERROR((COUNTIFS(I401:I1398,"5x",J401:J1398,"Ida",L401:L1398,"Ganado")+(COUNTIFS(I401:I1398,"5x",J401:J1398,"Ida",L401:L1398,"Break Even")))/(COUNTIFS(I401:I1398,"5x",J401:J1398,"Ida")),"Sin Datos")</f>
        <v>Sin Datos</v>
      </c>
      <c r="S405" s="27" t="str">
        <f>IFERROR((COUNTIFS(I401:I1398,"5x",J401:J1398,"Vuelta",L401:L1398,"Ganado")+(COUNTIFS(I401:I1398,"5x",J401:J1398,"Vuelta",L401:L1398,"Break Even")))/(COUNTIFS(I401:I1398,"5x",J401:J1398,"Vuelta")),"Sin Datos")</f>
        <v>Sin Datos</v>
      </c>
      <c r="T405" s="27" t="str">
        <f>IFERROR((COUNTIFS(I401:I1398,"5x",K401:K1398,"Long",L401:L1398,"Ganado")+(COUNTIFS(I401:I1398,"5x",K401:K1398,"Long",L401:L1398,"Break Even")))/(COUNTIFS(I401:I1398,"5x",K401:K1398,"Long")),"Sin Datos")</f>
        <v>Sin Datos</v>
      </c>
      <c r="U405" s="27" t="str">
        <f>IFERROR((COUNTIFS(I401:I1398,"5x",K401:K1398,"Short",L401:L1398,"Ganado")+(COUNTIFS(I401:I1398,"5x",K401:K1398,"Short",L401:L1398,"Break Even")))/(COUNTIFS(I401:I1398,"5x",K401:K1398,"Short")),"Sin Datos")</f>
        <v>Sin Datos</v>
      </c>
      <c r="V405" s="4" t="str">
        <f>IFERROR((COUNTIFS(I401:I1398,"5x",L401:L1398,"Ganado")+(COUNTIFS(I401:I1398,"5x",L401:L1398,"Break Even")))/(Q405),"Sin Datos")</f>
        <v>Sin Datos</v>
      </c>
      <c r="X405" s="27" t="str">
        <f>IFERROR((COUNTIFS(O401:O1398,"5x",P401:P1398,"Ida",R401:R1398,"Ganado"))/(COUNTIFS(O401:O1398,"5x",P401:P1398,"Ida")-(COUNTIFS(O401:O1398,"5x",P401:P1398,"Ida",R401:R1398,"Break Even"))),"Sin Datos")</f>
        <v>Sin Datos</v>
      </c>
      <c r="Y405" s="27" t="str">
        <f>IFERROR((COUNTIFS(O401:O1398,"5x",P401:P1398,"Vuelta",R401:R1398,"Ganado"))/(COUNTIFS(O401:O1398,"5x",P401:P1398,"Vuelta")-(COUNTIFS(O401:O1398,"5x",P401:P1398,"Vuelta",R401:R1398,"Break Even"))),"Sin Datos")</f>
        <v>Sin Datos</v>
      </c>
      <c r="Z405" s="27" t="str">
        <f>IFERROR((COUNTIFS(O401:O1398,"5x",Q401:Q1398,"Long",R401:R1398,"Ganado"))/(COUNTIFS(O401:O1398,"5x",Q401:Q1398,"Long")-(COUNTIFS(O401:O1398,"5x",Q401:Q1398,"Long",R401:R1398,"Break Even"))),"Sin Datos")</f>
        <v>Sin Datos</v>
      </c>
      <c r="AA405" s="27" t="str">
        <f>IFERROR((COUNTIFS(O401:O1398,"5x",Q401:Q1398,"Short",R401:R1398,"Ganado"))/(COUNTIFS(O401:O1398,"5x",Q401:Q1398,"Short")-(COUNTIFS(O401:O1398,"5x",Q401:Q1398,"Short",R401:R1398,"Break Even"))),"Sin Datos")</f>
        <v>Sin Datos</v>
      </c>
      <c r="AB405" s="4" t="str">
        <f>IFERROR((COUNTIFS(O401:O1398,"5x",R401:R1398,"Ganado"))/((W405)-(COUNTIFS(O401:O1398,"5x",R401:R1398,"Break Even"))),"Sin Datos")</f>
        <v>Sin Datos</v>
      </c>
      <c r="AD405" s="27" t="str">
        <f>IFERROR((COUNTIFS(U401:U1398,"5x",V401:V1398,"Ida",X401:X1398,"Ganado"))/(COUNTIFS(U401:U1398,"5x",V401:V1398,"Ida")),"Sin Datos")</f>
        <v>Sin Datos</v>
      </c>
      <c r="AE405" s="27" t="str">
        <f>IFERROR((COUNTIFS(U401:U1398,"5x",V401:V1398,"Vuelta",X401:X1398,"Ganado"))/(COUNTIFS(U401:U1398,"5x",V401:V1398,"Vuelta")),"Sin Datos")</f>
        <v>Sin Datos</v>
      </c>
      <c r="AF405" s="27" t="str">
        <f>IFERROR((COUNTIFS(U401:U1398,"5x",W401:W1398,"Long",X401:X1398,"Ganado"))/(COUNTIFS(U401:U1398,"5x",W401:W1398,"Long")),"Sin Datos")</f>
        <v>Sin Datos</v>
      </c>
      <c r="AG405" s="27" t="str">
        <f>IFERROR((COUNTIFS(U401:U1398,"5x",W401:W1398,"Short",X401:X1398,"Ganado"))/(COUNTIFS(U401:U1398,"5x",W401:W1398,"Short")),"Sin Datos")</f>
        <v>Sin Datos</v>
      </c>
      <c r="AH405" s="4" t="str">
        <f>IFERROR((COUNTIFS(U401:U1398,"5x",X401:X1398,"Ganado"))/(AC405),"Sin Datos")</f>
        <v>Sin Datos</v>
      </c>
    </row>
    <row r="406" spans="18:34" ht="15.75" x14ac:dyDescent="0.25">
      <c r="R406" s="27" t="str">
        <f>IFERROR((COUNTIFS(I401:I1398,"BatiBot",J401:J1398,"Ida",L401:L1398,"Ganado")+(COUNTIFS(I401:I1398,"BatiBot",J401:J1398,"Ida",L401:L1398,"Break Even")))/(COUNTIFS(I401:I1398,"BatiBot",J401:J1398,"Ida")),"Sin Datos")</f>
        <v>Sin Datos</v>
      </c>
      <c r="S406" s="27" t="str">
        <f>IFERROR((COUNTIFS(I401:I1398,"BatiBot",J401:J1398,"Vuelta",L401:L1398,"Ganado")+(COUNTIFS(I401:I1398,"BatiBot",J401:J1398,"Vuelta",L401:L1398,"Break Even")))/(COUNTIFS(I401:I1398,"BatiBot",J401:J1398,"Vuelta")),"Sin Datos")</f>
        <v>Sin Datos</v>
      </c>
      <c r="T406" s="27" t="str">
        <f>IFERROR((COUNTIFS(I401:I1398,"BatiBot",K401:K1398,"Long",L401:L1398,"Ganado")+(COUNTIFS(I401:I1398,"BatiBot",K401:K1398,"Long",L401:L1398,"Break Even")))/(COUNTIFS(I401:I1398,"BatiBot",K401:K1398,"Long")),"Sin Datos")</f>
        <v>Sin Datos</v>
      </c>
      <c r="U406" s="27" t="str">
        <f>IFERROR((COUNTIFS(I401:I1398,"BatiBot",K401:K1398,"Short",L401:L1398,"Ganado")+(COUNTIFS(I401:I1398,"BatiBot",K401:K1398,"Short",L401:L1398,"Break Even")))/(COUNTIFS(I401:I1398,"BatiBot",K401:K1398,"Short")),"Sin Datos")</f>
        <v>Sin Datos</v>
      </c>
      <c r="V406" s="4" t="str">
        <f>IFERROR((COUNTIFS(I401:I1398,"BatiBot",L401:L1398,"Ganado")+(COUNTIFS(I401:I1398,"BatiBot",L401:L1398,"Break Even")))/(Q406),"Sin Datos")</f>
        <v>Sin Datos</v>
      </c>
      <c r="X406" s="27" t="str">
        <f>IFERROR((COUNTIFS(O401:O1398,"BatiBot",P401:P1398,"Ida",R401:R1398,"Ganado"))/(COUNTIFS(O401:O1398,"BatiBot",P401:P1398,"Ida")-(COUNTIFS(O401:O1398,"BatiBot",P401:P1398,"Ida",R401:R1398,"Break Even"))),"Sin Datos")</f>
        <v>Sin Datos</v>
      </c>
      <c r="Y406" s="27" t="str">
        <f>IFERROR((COUNTIFS(O401:O1398,"BatiBot",P401:P1398,"Vuelta",R401:R1398,"Ganado"))/(COUNTIFS(O401:O1398,"BatiBot",P401:P1398,"Vuelta")-(COUNTIFS(O401:O1398,"BatiBot",P401:P1398,"Vuelta",R401:R1398,"Break Even"))),"Sin Datos")</f>
        <v>Sin Datos</v>
      </c>
      <c r="Z406" s="27" t="str">
        <f>IFERROR((COUNTIFS(O401:O1398,"BatiBot",Q401:Q1398,"Long",R401:R1398,"Ganado"))/(COUNTIFS(O401:O1398,"BatiBot",Q401:Q1398,"Long")-(COUNTIFS(O401:O1398,"BatiBot",Q401:Q1398,"Long",R401:R1398,"Break Even"))),"Sin Datos")</f>
        <v>Sin Datos</v>
      </c>
      <c r="AA406" s="27" t="str">
        <f>IFERROR((COUNTIFS(O401:O1398,"BatiBot",Q401:Q1398,"Short",R401:R1398,"Ganado"))/(COUNTIFS(O401:O1398,"BatiBot",Q401:Q1398,"Short")-(COUNTIFS(O401:O1398,"BatiBot",Q401:Q1398,"Short",R401:R1398,"Break Even"))),"Sin Datos")</f>
        <v>Sin Datos</v>
      </c>
      <c r="AB406" s="4" t="str">
        <f>IFERROR((COUNTIFS(O401:O1398,"BatiBot",R401:R1398,"Ganado"))/((W406)-(COUNTIFS(O401:O1398,"BatiBot",R401:R1398,"Break Even"))),"Sin Datos")</f>
        <v>Sin Datos</v>
      </c>
      <c r="AD406" s="27" t="str">
        <f>IFERROR((COUNTIFS(U401:U1398,"BatiBot",V401:V1398,"Ida",X401:X1398,"Ganado"))/(COUNTIFS(U401:U1398,"BatiBot",V401:V1398,"Ida")),"Sin Datos")</f>
        <v>Sin Datos</v>
      </c>
      <c r="AE406" s="27" t="str">
        <f>IFERROR((COUNTIFS(U401:U1398,"BatiBot",V401:V1398,"Vuelta",X401:X1398,"Ganado"))/(COUNTIFS(U401:U1398,"BatiBot",V401:V1398,"Vuelta")),"Sin Datos")</f>
        <v>Sin Datos</v>
      </c>
      <c r="AF406" s="27" t="str">
        <f>IFERROR((COUNTIFS(U401:U1398,"BatiBot",W401:W1398,"Long",X401:X1398,"Ganado"))/(COUNTIFS(U401:U1398,"BatiBot",W401:W1398,"Long")),"Sin Datos")</f>
        <v>Sin Datos</v>
      </c>
      <c r="AG406" s="27" t="str">
        <f>IFERROR((COUNTIFS(U401:U1398,"BatiBot",W401:W1398,"Short",X401:X1398,"Ganado"))/(COUNTIFS(U401:U1398,"BatiBot",W401:W1398,"Short")),"Sin Datos")</f>
        <v>Sin Datos</v>
      </c>
      <c r="AH406" s="4" t="str">
        <f>IFERROR((COUNTIFS(U401:U1398,"BatiBot",X401:X1398,"Ganado"))/(AC406),"Sin Datos")</f>
        <v>Sin Datos</v>
      </c>
    </row>
    <row r="407" spans="18:34" ht="15.75" x14ac:dyDescent="0.25">
      <c r="R407" s="27" t="str">
        <f>IFERROR((COUNTIFS(I401:I1398,"WolfiBot",J401:J1398,"Ida",L401:L1398,"Ganado")+(COUNTIFS(I401:I1398,"WolfiBot",J401:J1398,"Ida",L401:L1398,"Break Even")))/(COUNTIFS(I401:I1398,"WolfiBot",J401:J1398,"Ida")),"Sin Datos")</f>
        <v>Sin Datos</v>
      </c>
      <c r="S407" s="27" t="str">
        <f>IFERROR((COUNTIFS(I401:I1398,"WolfiBot",J401:J1398,"Vuelta",L401:L1398,"Ganado")+(COUNTIFS(I401:I1398,"WolfiBot",J401:J1398,"Vuelta",L401:L1398,"Break Even")))/(COUNTIFS(I401:I1398,"WolfiBot",J401:J1398,"Vuelta")),"Sin Datos")</f>
        <v>Sin Datos</v>
      </c>
      <c r="T407" s="27" t="str">
        <f>IFERROR((COUNTIFS(I401:I1398,"WolfiBot",K401:K1398,"Long",L401:L1398,"Ganado")+(COUNTIFS(I401:I1398,"WolfiBot",K401:K1398,"Long",L401:L1398,"Break Even")))/(COUNTIFS(I401:I1398,"WolfiBot",K401:K1398,"Long")),"Sin Datos")</f>
        <v>Sin Datos</v>
      </c>
      <c r="U407" s="27" t="str">
        <f>IFERROR((COUNTIFS(I401:I1398,"WolfiBot",K401:K1398,"Short",L401:L1398,"Ganado")+(COUNTIFS(I401:I1398,"WolfiBot",K401:K1398,"Short",L401:L1398,"Break Even")))/(COUNTIFS(I401:I1398,"WolfiBot",K401:K1398,"Short")),"Sin Datos")</f>
        <v>Sin Datos</v>
      </c>
      <c r="V407" s="4" t="str">
        <f>IFERROR((COUNTIFS(I401:I1398,"WolfiBot",L401:L1398,"Ganado")+(COUNTIFS(I401:I1398,"WolfiBot",L401:L1398,"Break Even")))/(Q407),"Sin Datos")</f>
        <v>Sin Datos</v>
      </c>
      <c r="X407" s="27" t="str">
        <f>IFERROR((COUNTIFS(O401:O1398,"WolfiBot",P401:P1398,"Ida",R401:R1398,"Ganado"))/(COUNTIFS(O401:O1398,"WolfiBot",P401:P1398,"Ida")-(COUNTIFS(O401:O1398,"WolfiBot",P401:P1398,"Ida",R401:R1398,"Break Even"))),"Sin Datos")</f>
        <v>Sin Datos</v>
      </c>
      <c r="Y407" s="27" t="str">
        <f>IFERROR((COUNTIFS(O401:O1398,"WolfiBot",P401:P1398,"Vuelta",R401:R1398,"Ganado"))/(COUNTIFS(O401:O1398,"WolfiBot",P401:P1398,"Vuelta")-(COUNTIFS(O401:O1398,"WolfiBot",P401:P1398,"Vuelta",R401:R1398,"Break Even"))),"Sin Datos")</f>
        <v>Sin Datos</v>
      </c>
      <c r="Z407" s="27" t="str">
        <f>IFERROR((COUNTIFS(O401:O1398,"WolfiBot",Q401:Q1398,"Long",R401:R1398,"Ganado"))/(COUNTIFS(O401:O1398,"WolfiBot",Q401:Q1398,"Long")-(COUNTIFS(O401:O1398,"WolfiBot",Q401:Q1398,"Long",R401:R1398,"Break Even"))),"Sin Datos")</f>
        <v>Sin Datos</v>
      </c>
      <c r="AA407" s="27" t="str">
        <f>IFERROR((COUNTIFS(O401:O1398,"WolfiBot",Q401:Q1398,"Short",R401:R1398,"Ganado"))/(COUNTIFS(O401:O1398,"WolfiBot",Q401:Q1398,"Short")-(COUNTIFS(O401:O1398,"WolfiBot",Q401:Q1398,"Short",R401:R1398,"Break Even"))),"Sin Datos")</f>
        <v>Sin Datos</v>
      </c>
      <c r="AB407" s="4" t="str">
        <f>IFERROR((COUNTIFS(O401:O1398,"WolfiBot",R401:R1398,"Ganado"))/((W407)-(COUNTIFS(O401:O1398,"WolfiBot",R401:R1398,"Break Even"))),"Sin Datos")</f>
        <v>Sin Datos</v>
      </c>
      <c r="AD407" s="27" t="str">
        <f>IFERROR((COUNTIFS(U401:U1398,"WolfiBot",V401:V1398,"Ida",X401:X1398,"Ganado"))/(COUNTIFS(U401:U1398,"WolfiBot",V401:V1398,"Ida")),"Sin Datos")</f>
        <v>Sin Datos</v>
      </c>
      <c r="AE407" s="27" t="str">
        <f>IFERROR((COUNTIFS(U401:U1398,"WolfiBot",V401:V1398,"Vuelta",X401:X1398,"Ganado"))/(COUNTIFS(U401:U1398,"WolfiBot",V401:V1398,"Vuelta")),"Sin Datos")</f>
        <v>Sin Datos</v>
      </c>
      <c r="AF407" s="27" t="str">
        <f>IFERROR((COUNTIFS(U401:U1398,"WolfiBot",W401:W1398,"Long",X401:X1398,"Ganado"))/(COUNTIFS(U401:U1398,"WolfiBot",W401:W1398,"Long")),"Sin Datos")</f>
        <v>Sin Datos</v>
      </c>
      <c r="AG407" s="27" t="str">
        <f>IFERROR((COUNTIFS(U401:U1398,"WolfiBot",W401:W1398,"Short",X401:X1398,"Ganado"))/(COUNTIFS(U401:U1398,"WolfiBot",W401:W1398,"Short")),"Sin Datos")</f>
        <v>Sin Datos</v>
      </c>
      <c r="AH407" s="4" t="str">
        <f>IFERROR((COUNTIFS(U401:U1398,"WolfiBot",X401:X1398,"Ganado"))/(AC407),"Sin Datos")</f>
        <v>Sin Datos</v>
      </c>
    </row>
    <row r="408" spans="18:34" ht="15.75" x14ac:dyDescent="0.25">
      <c r="R408" s="27" t="str">
        <f>IFERROR((COUNTIFS(I401:I1398,"CondorBot",J401:J1398,"Ida",L401:L1398,"Ganado")+(COUNTIFS(I401:I1398,"CondorBot",J401:J1398,"Ida",L401:L1398,"Break Even")))/(COUNTIFS(I401:I1398,"CondorBot",J401:J1398,"Ida")),"Sin Datos")</f>
        <v>Sin Datos</v>
      </c>
      <c r="S408" s="27" t="str">
        <f>IFERROR((COUNTIFS(I401:I1398,"CondorBot",J401:J1398,"Vuelta",L401:L1398,"Ganado")+(COUNTIFS(I401:I1398,"CondorBot",J401:J1398,"Vuelta",L401:L1398,"Break Even")))/(COUNTIFS(I401:I1398,"CondorBot",J401:J1398,"Vuelta")),"Sin Datos")</f>
        <v>Sin Datos</v>
      </c>
      <c r="T408" s="27" t="str">
        <f>IFERROR((COUNTIFS(I401:I1398,"CondorBot",K401:K1398,"Long",L401:L1398,"Ganado")+(COUNTIFS(I401:I1398,"CondorBot",K401:K1398,"Long",L401:L1398,"Break Even")))/(COUNTIFS(I401:I1398,"CondorBot",K401:K1398,"Long")),"Sin Datos")</f>
        <v>Sin Datos</v>
      </c>
      <c r="U408" s="27" t="str">
        <f>IFERROR((COUNTIFS(I401:I1398,"CondorBot",K401:K1398,"Short",L401:L1398,"Ganado")+(COUNTIFS(I401:I1398,"CondorBot",K401:K1398,"Short",L401:L1398,"Break Even")))/(COUNTIFS(I401:I1398,"CondorBot",K401:K1398,"Short")),"Sin Datos")</f>
        <v>Sin Datos</v>
      </c>
      <c r="V408" s="4" t="str">
        <f>IFERROR((COUNTIFS(I401:I1398,"CondorBot",L401:L1398,"Ganado")+(COUNTIFS(I401:I1398,"CondorBot",L401:L1398,"Break Even")))/(Q408),"Sin Datos")</f>
        <v>Sin Datos</v>
      </c>
      <c r="X408" s="27" t="str">
        <f>IFERROR((COUNTIFS(O401:O1398,"CondorBot",P401:P1398,"Ida",R401:R1398,"Ganado"))/(COUNTIFS(O401:O1398,"CondorBot",P401:P1398,"Ida")-(COUNTIFS(O401:O1398,"CondorBot",P401:P1398,"Ida",R401:R1398,"Break Even"))),"Sin Datos")</f>
        <v>Sin Datos</v>
      </c>
      <c r="Y408" s="27" t="str">
        <f>IFERROR((COUNTIFS(O401:O1398,"CondorBot",P401:P1398,"Vuelta",R401:R1398,"Ganado"))/(COUNTIFS(O401:O1398,"CondorBot",P401:P1398,"Vuelta")-(COUNTIFS(O401:O1398,"CondorBot",P401:P1398,"Vuelta",R401:R1398,"Break Even"))),"Sin Datos")</f>
        <v>Sin Datos</v>
      </c>
      <c r="Z408" s="27" t="str">
        <f>IFERROR((COUNTIFS(O401:O1398,"CondorBot",Q401:Q1398,"Long",R401:R1398,"Ganado"))/(COUNTIFS(O401:O1398,"CondorBot",Q401:Q1398,"Long")-(COUNTIFS(O401:O1398,"CondorBot",Q401:Q1398,"Long",R401:R1398,"Break Even"))),"Sin Datos")</f>
        <v>Sin Datos</v>
      </c>
      <c r="AA408" s="27" t="str">
        <f>IFERROR((COUNTIFS(O401:O1398,"CondorBot",Q401:Q1398,"Short",R401:R1398,"Ganado"))/(COUNTIFS(O401:O1398,"CondorBot",Q401:Q1398,"Short")-(COUNTIFS(O401:O1398,"CondorBot",Q401:Q1398,"Short",R401:R1398,"Break Even"))),"Sin Datos")</f>
        <v>Sin Datos</v>
      </c>
      <c r="AB408" s="4" t="str">
        <f>IFERROR((COUNTIFS(O401:O1398,"CondorBot",R401:R1398,"Ganado"))/((W408)-(COUNTIFS(O401:O1398,"CondorBot",R401:R1398,"Break Even"))),"Sin Datos")</f>
        <v>Sin Datos</v>
      </c>
      <c r="AD408" s="27" t="str">
        <f>IFERROR((COUNTIFS(U401:U1398,"CondorBot",V401:V1398,"Ida",X401:X1398,"Ganado"))/(COUNTIFS(U401:U1398,"CondorBot",V401:V1398,"Ida")),"Sin Datos")</f>
        <v>Sin Datos</v>
      </c>
      <c r="AE408" s="27" t="str">
        <f>IFERROR((COUNTIFS(U401:U1398,"CondorBot",V401:V1398,"Vuelta",X401:X1398,"Ganado"))/(COUNTIFS(U401:U1398,"CondorBot",V401:V1398,"Vuelta")),"Sin Datos")</f>
        <v>Sin Datos</v>
      </c>
      <c r="AF408" s="27" t="str">
        <f>IFERROR((COUNTIFS(U401:U1398,"CondorBot",W401:W1398,"Long",X401:X1398,"Ganado"))/(COUNTIFS(U401:U1398,"CondorBot",W401:W1398,"Long")),"Sin Datos")</f>
        <v>Sin Datos</v>
      </c>
      <c r="AG408" s="27" t="str">
        <f>IFERROR((COUNTIFS(U401:U1398,"CondorBot",W401:W1398,"Short",X401:X1398,"Ganado"))/(COUNTIFS(U401:U1398,"CondorBot",W401:W1398,"Short")),"Sin Datos")</f>
        <v>Sin Datos</v>
      </c>
      <c r="AH408" s="4" t="str">
        <f>IFERROR((COUNTIFS(U401:U1398,"CondorBot",X401:X1398,"Ganado"))/(AC408),"Sin Datos")</f>
        <v>Sin Datos</v>
      </c>
    </row>
    <row r="409" spans="18:34" ht="15.75" x14ac:dyDescent="0.25">
      <c r="R409" s="27" t="str">
        <f>IFERROR((COUNTIFS(I401:I1398,"Otras",J401:J1398,"Ida",L401:L1398,"Ganado")+(COUNTIFS(I401:I1398,"Otras",J401:J1398,"Ida",L401:L1398,"Break Even")))/(COUNTIFS(I401:I1398,"Otras",J401:J1398,"Ida")),"Sin Datos")</f>
        <v>Sin Datos</v>
      </c>
      <c r="S409" s="27" t="str">
        <f>IFERROR((COUNTIFS(I401:I1398,"Otras",J401:J1398,"Vuelta",L401:L1398,"Ganado")+(COUNTIFS(I401:I1398,"Otras",J401:J1398,"Vuelta",L401:L1398,"Break Even")))/(COUNTIFS(I401:I1398,"Otras",J401:J1398,"Vuelta")),"Sin Datos")</f>
        <v>Sin Datos</v>
      </c>
      <c r="T409" s="27" t="str">
        <f>IFERROR((COUNTIFS(I401:I1398,"Otras",K401:K1398,"Long",L401:L1398,"Ganado")+(COUNTIFS(I401:I1398,"Otras",K401:K1398,"Long",L401:L1398,"Break Even")))/(COUNTIFS(I401:I1398,"Otras",K401:K1398,"Long")),"Sin Datos")</f>
        <v>Sin Datos</v>
      </c>
      <c r="U409" s="27" t="str">
        <f>IFERROR((COUNTIFS(I401:I1398,"Otras",K401:K1398,"Short",L401:L1398,"Ganado")+(COUNTIFS(I401:I1398,"Otras",K401:K1398,"Short",L401:L1398,"Break Even")))/(COUNTIFS(I401:I1398,"Otras",K401:K1398,"Short")),"Sin Datos")</f>
        <v>Sin Datos</v>
      </c>
      <c r="V409" s="4" t="str">
        <f>IFERROR((COUNTIFS(I401:I1398,"Otras",L401:L1398,"Ganado")+(COUNTIFS(I401:I1398,"Otras",L401:L1398,"Break Even")))/(Q409),"Sin Datos")</f>
        <v>Sin Datos</v>
      </c>
      <c r="X409" s="27" t="str">
        <f>IFERROR((COUNTIFS(O401:O1398,"Otras",P401:P1398,"Ida",R401:R1398,"Ganado"))/(COUNTIFS(O401:O1398,"Otras",P401:P1398,"Ida")-(COUNTIFS(O401:O1398,"Otras",P401:P1398,"Ida",R401:R1398,"Break Even"))),"Sin Datos")</f>
        <v>Sin Datos</v>
      </c>
      <c r="Y409" s="27" t="str">
        <f>IFERROR((COUNTIFS(O401:O1398,"Otras",P401:P1398,"Vuelta",R401:R1398,"Ganado"))/(COUNTIFS(O401:O1398,"Otras",P401:P1398,"Vuelta")-(COUNTIFS(O401:O1398,"Otras",P401:P1398,"Vuelta",R401:R1398,"Break Even"))),"Sin Datos")</f>
        <v>Sin Datos</v>
      </c>
      <c r="Z409" s="27" t="str">
        <f>IFERROR((COUNTIFS(O401:O1398,"Otras",Q401:Q1398,"Long",R401:R1398,"Ganado"))/(COUNTIFS(O401:O1398,"Otras",Q401:Q1398,"Long")-(COUNTIFS(O401:O1398,"Otras",Q401:Q1398,"Long",R401:R1398,"Break Even"))),"Sin Datos")</f>
        <v>Sin Datos</v>
      </c>
      <c r="AA409" s="27" t="str">
        <f>IFERROR((COUNTIFS(O401:O1398,"Otras",Q401:Q1398,"Short",R401:R1398,"Ganado"))/(COUNTIFS(O401:O1398,"Otras",Q401:Q1398,"Short")-(COUNTIFS(O401:O1398,"Otras",Q401:Q1398,"Short",R401:R1398,"Break Even"))),"Sin Datos")</f>
        <v>Sin Datos</v>
      </c>
      <c r="AB409" s="4" t="str">
        <f>IFERROR((COUNTIFS(O401:O1398,"Otras",R401:R1398,"Ganado"))/((W409)-(COUNTIFS(O401:O1398,"Otras",R401:R1398,"Break Even"))),"Sin Datos")</f>
        <v>Sin Datos</v>
      </c>
      <c r="AD409" s="27" t="str">
        <f>IFERROR((COUNTIFS(U401:U1398,"Otras",V401:V1398,"Ida",X401:X1398,"Ganado"))/(COUNTIFS(U401:U1398,"Otras",V401:V1398,"Ida")),"Sin Datos")</f>
        <v>Sin Datos</v>
      </c>
      <c r="AE409" s="27" t="str">
        <f>IFERROR((COUNTIFS(U401:U1398,"Otras",V401:V1398,"Vuelta",X401:X1398,"Ganado"))/(COUNTIFS(U401:U1398,"Otras",V401:V1398,"Vuelta")),"Sin Datos")</f>
        <v>Sin Datos</v>
      </c>
      <c r="AF409" s="27" t="str">
        <f>IFERROR((COUNTIFS(U401:U1398,"Otras",W401:W1398,"Long",X401:X1398,"Ganado"))/(COUNTIFS(U401:U1398,"Otras",W401:W1398,"Long")),"Sin Datos")</f>
        <v>Sin Datos</v>
      </c>
      <c r="AG409" s="27" t="str">
        <f>IFERROR((COUNTIFS(U401:U1398,"Otras",W401:W1398,"Short",X401:X1398,"Ganado"))/(COUNTIFS(U401:U1398,"Otras",W401:W1398,"Short")),"Sin Datos")</f>
        <v>Sin Datos</v>
      </c>
      <c r="AH409" s="4" t="str">
        <f>IFERROR((COUNTIFS(U401:U1398,"Otras",X401:X1398,"Ganado"))/(AC409),"Sin Datos")</f>
        <v>Sin Datos</v>
      </c>
    </row>
    <row r="410" spans="18:34" ht="18.75" x14ac:dyDescent="0.25">
      <c r="R410" s="29" t="str">
        <f>IFERROR((COUNTIFS(J401:J1398,"Ida",L401:L1398,"Ganado")+(COUNTIFS(J401:J1398,"Ida",L401:L1398,"Break Even")))/(COUNTIFS(J401:J1398,"Ida")),"Sin Datos")</f>
        <v>Sin Datos</v>
      </c>
      <c r="S410" s="29" t="str">
        <f>IFERROR((COUNTIFS(J401:J1398,"Vuelta",L401:L1398,"Ganado")+(COUNTIFS(J401:J1398,"Vuelta",L401:L1398,"Break Even")))/(COUNTIFS(J401:J1398,"Vuelta")),"Sin Datos")</f>
        <v>Sin Datos</v>
      </c>
      <c r="T410" s="29" t="str">
        <f>IFERROR((COUNTIFS(K401:K1398,"Long",L401:L1398,"Ganado")+(COUNTIFS(K401:K1398,"Long",L401:L1398,"Break Even")))/(COUNTIFS(K401:K1398,"Long")),"Sin Datos")</f>
        <v>Sin Datos</v>
      </c>
      <c r="U410" s="29" t="str">
        <f>IFERROR((COUNTIFS(K401:K1398,"Short",L401:L1398,"Ganado")+(COUNTIFS(K401:K1398,"Short",L401:L1398,"Break Even")))/(COUNTIFS(K401:K1398,"Short")),"Sin Datos")</f>
        <v>Sin Datos</v>
      </c>
      <c r="V410" s="29" t="str">
        <f>IFERROR((COUNTIF(L401:L1398,"Ganado")+(COUNTIF(L401:L1398,"Break Even")))/(Q410),"Sin Datos")</f>
        <v>Sin Datos</v>
      </c>
      <c r="X410" s="29" t="str">
        <f>IFERROR((COUNTIFS(P401:P1398,"Ida",R401:R1398,"Ganado"))/(COUNTIFS(P401:P1398,"Ida")-(COUNTIFS(P401:P1398,"Ida",R401:R1398,"Break Even"))),"Sin Datos")</f>
        <v>Sin Datos</v>
      </c>
      <c r="Y410" s="29" t="str">
        <f>IFERROR((COUNTIFS(P401:P1398,"Vuelta",R401:R1398,"Ganado"))/(COUNTIFS(P401:P1398,"Vuelta")-(COUNTIFS(P401:P1398,"Vuelta",R401:R1398,"Break Even"))),"Sin Datos")</f>
        <v>Sin Datos</v>
      </c>
      <c r="Z410" s="29" t="str">
        <f>IFERROR((COUNTIFS(Q401:Q1398,"Long",R401:R1398,"Ganado"))/(COUNTIFS(Q401:Q1398,"Long")-(COUNTIFS(Q401:Q1398,"Long",R401:R1398,"Break Even"))),"Sin Datos")</f>
        <v>Sin Datos</v>
      </c>
      <c r="AA410" s="29" t="str">
        <f>IFERROR((COUNTIFS(Q401:Q1398,"Short",R401:R1398,"Ganado"))/(COUNTIFS(Q401:Q1398,"Short")-(COUNTIFS(Q401:Q1398,"Short",R401:R1398,"Break Even"))),"Sin Datos")</f>
        <v>Sin Datos</v>
      </c>
      <c r="AB410" s="29" t="str">
        <f>IFERROR((COUNTIF(R401:R1398,"Ganado"))/((W410)-(COUNTIF(R401:R1398,"Break Even"))),"Sin Datos")</f>
        <v>Sin Datos</v>
      </c>
      <c r="AD410" s="29" t="str">
        <f>IFERROR((COUNTIFS(V401:V1398,"Ida",X401:X1398,"Ganado"))/(COUNTIFS(V401:V1398,"Ida")),"Sin Datos")</f>
        <v>Sin Datos</v>
      </c>
      <c r="AE410" s="29" t="str">
        <f>IFERROR((COUNTIFS(V401:V1398,"Vuelta",X401:X1398,"Ganado"))/(COUNTIFS(V401:V1398,"Vuelta")),"Sin Datos")</f>
        <v>Sin Datos</v>
      </c>
      <c r="AF410" s="29" t="str">
        <f>IFERROR((COUNTIFS(W401:W1398,"Long",X401:X1398,"Ganado"))/(COUNTIFS(W401:W1398,"Long")),"Sin Datos")</f>
        <v>Sin Datos</v>
      </c>
      <c r="AG410" s="29" t="str">
        <f>IFERROR((COUNTIFS(W401:W1398,"Short",X401:X1398,"Ganado"))/(COUNTIFS(W401:W1398,"Short")),"Sin Datos")</f>
        <v>Sin Datos</v>
      </c>
      <c r="AH410" s="29" t="str">
        <f>IFERROR((COUNTIF(X401:X1398,"Ganado"))/(AC410),"Sin Datos")</f>
        <v>Sin Datos</v>
      </c>
    </row>
  </sheetData>
  <mergeCells count="4">
    <mergeCell ref="M13:N13"/>
    <mergeCell ref="R397:V398"/>
    <mergeCell ref="X397:AB398"/>
    <mergeCell ref="AD397:AH398"/>
  </mergeCells>
  <conditionalFormatting sqref="H2:H301">
    <cfRule type="containsText" dxfId="166" priority="28" operator="containsText" text="Short">
      <formula>NOT(ISERROR(SEARCH("Short",H2)))</formula>
    </cfRule>
    <cfRule type="containsText" dxfId="165" priority="29" operator="containsText" text="Long">
      <formula>NOT(ISERROR(SEARCH("Long",H2)))</formula>
    </cfRule>
  </conditionalFormatting>
  <conditionalFormatting sqref="I2:I301">
    <cfRule type="containsText" dxfId="164" priority="25" operator="containsText" text="Break Even">
      <formula>NOT(ISERROR(SEARCH("Break Even",I2)))</formula>
    </cfRule>
    <cfRule type="containsText" dxfId="163" priority="26" operator="containsText" text="Perdido">
      <formula>NOT(ISERROR(SEARCH("Perdido",I2)))</formula>
    </cfRule>
    <cfRule type="containsText" dxfId="162" priority="27" operator="containsText" text="Ganado">
      <formula>NOT(ISERROR(SEARCH("Ganado",I2)))</formula>
    </cfRule>
  </conditionalFormatting>
  <conditionalFormatting sqref="B8">
    <cfRule type="containsText" dxfId="161" priority="22" operator="containsText" text="Baja">
      <formula>NOT(ISERROR(SEARCH("Baja",B8)))</formula>
    </cfRule>
    <cfRule type="containsText" dxfId="160" priority="23" operator="containsText" text="Moderada">
      <formula>NOT(ISERROR(SEARCH("Moderada",B8)))</formula>
    </cfRule>
    <cfRule type="containsText" dxfId="159" priority="24" operator="containsText" text="Alta">
      <formula>NOT(ISERROR(SEARCH("Alta",B8)))</formula>
    </cfRule>
  </conditionalFormatting>
  <conditionalFormatting sqref="B13:B16">
    <cfRule type="cellIs" dxfId="158" priority="19" operator="between">
      <formula>0</formula>
      <formula>0.49</formula>
    </cfRule>
    <cfRule type="cellIs" dxfId="157" priority="20" operator="between">
      <formula>0.5</formula>
      <formula>0.65</formula>
    </cfRule>
    <cfRule type="cellIs" dxfId="156" priority="21" operator="between">
      <formula>0.66</formula>
      <formula>1</formula>
    </cfRule>
  </conditionalFormatting>
  <conditionalFormatting sqref="B17:B20">
    <cfRule type="cellIs" dxfId="155" priority="17" operator="lessThan">
      <formula>0</formula>
    </cfRule>
    <cfRule type="cellIs" dxfId="154" priority="18" operator="greaterThan">
      <formula>0</formula>
    </cfRule>
  </conditionalFormatting>
  <conditionalFormatting sqref="B2:B7">
    <cfRule type="cellIs" dxfId="153" priority="15" operator="lessThan">
      <formula>0</formula>
    </cfRule>
    <cfRule type="cellIs" dxfId="152" priority="16" operator="greaterThan">
      <formula>0</formula>
    </cfRule>
  </conditionalFormatting>
  <conditionalFormatting sqref="X401:AB410">
    <cfRule type="cellIs" dxfId="151" priority="12" operator="between">
      <formula>0.66</formula>
      <formula>1</formula>
    </cfRule>
    <cfRule type="cellIs" dxfId="150" priority="13" operator="between">
      <formula>0.5</formula>
      <formula>0.65</formula>
    </cfRule>
    <cfRule type="cellIs" dxfId="149" priority="14" operator="between">
      <formula>0</formula>
      <formula>0.49</formula>
    </cfRule>
  </conditionalFormatting>
  <conditionalFormatting sqref="R401:V410">
    <cfRule type="cellIs" dxfId="148" priority="9" operator="between">
      <formula>0.66</formula>
      <formula>1</formula>
    </cfRule>
    <cfRule type="cellIs" dxfId="147" priority="10" operator="between">
      <formula>0.5</formula>
      <formula>0.65</formula>
    </cfRule>
    <cfRule type="cellIs" dxfId="146" priority="11" operator="between">
      <formula>0</formula>
      <formula>0.49</formula>
    </cfRule>
  </conditionalFormatting>
  <conditionalFormatting sqref="AD401:AH410">
    <cfRule type="cellIs" dxfId="145" priority="6" operator="between">
      <formula>0.66</formula>
      <formula>1</formula>
    </cfRule>
    <cfRule type="cellIs" dxfId="144" priority="7" operator="between">
      <formula>0.5</formula>
      <formula>0.65</formula>
    </cfRule>
    <cfRule type="cellIs" dxfId="143" priority="8" operator="between">
      <formula>0</formula>
      <formula>0.49</formula>
    </cfRule>
  </conditionalFormatting>
  <conditionalFormatting sqref="O2:S11">
    <cfRule type="cellIs" dxfId="142" priority="3" operator="between">
      <formula>0.66</formula>
      <formula>1</formula>
    </cfRule>
    <cfRule type="cellIs" dxfId="141" priority="4" operator="between">
      <formula>0.5</formula>
      <formula>0.65</formula>
    </cfRule>
    <cfRule type="cellIs" dxfId="140" priority="5" operator="between">
      <formula>0</formula>
      <formula>0.49</formula>
    </cfRule>
  </conditionalFormatting>
  <conditionalFormatting sqref="J2:K301">
    <cfRule type="cellIs" dxfId="139" priority="1" operator="lessThan">
      <formula>0</formula>
    </cfRule>
    <cfRule type="cellIs" dxfId="138" priority="2" operator="greaterThan">
      <formula>0</formula>
    </cfRule>
  </conditionalFormatting>
  <dataValidations count="5">
    <dataValidation type="list" allowBlank="1" showErrorMessage="1" promptTitle="Seleccione" prompt="Seleccione" sqref="F2:F301" xr:uid="{00000000-0002-0000-0500-000000000000}">
      <formula1>$M$2:$M$10</formula1>
    </dataValidation>
    <dataValidation type="list" allowBlank="1" showErrorMessage="1" promptTitle="Seleccione" prompt="Seleccione" sqref="G2:G301" xr:uid="{00000000-0002-0000-0500-000001000000}">
      <formula1>"Ida,Vuelta"</formula1>
    </dataValidation>
    <dataValidation type="list" allowBlank="1" showInputMessage="1" showErrorMessage="1" sqref="E2:E301" xr:uid="{00000000-0002-0000-0500-000002000000}">
      <formula1>"1,2,3,4,5,6,7,8,9,10,11,12,13,14,15,16,17,18,19,20,21,22,23,24,25,26,27,28,29,30,31"</formula1>
    </dataValidation>
    <dataValidation type="list" allowBlank="1" showInputMessage="1" showErrorMessage="1" sqref="H2:H301" xr:uid="{00000000-0002-0000-0500-000003000000}">
      <formula1>"Long,Short"</formula1>
    </dataValidation>
    <dataValidation type="list" allowBlank="1" showInputMessage="1" showErrorMessage="1" sqref="B8" xr:uid="{00000000-0002-0000-0500-000004000000}">
      <formula1>"Alta,Moderada,Baja"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H410"/>
  <sheetViews>
    <sheetView zoomScaleNormal="100" workbookViewId="0">
      <selection activeCell="C1" sqref="C1"/>
    </sheetView>
  </sheetViews>
  <sheetFormatPr defaultColWidth="11.42578125" defaultRowHeight="15" x14ac:dyDescent="0.25"/>
  <cols>
    <col min="1" max="1" width="35.5703125" style="24" customWidth="1"/>
    <col min="2" max="2" width="12.28515625" style="24" bestFit="1" customWidth="1"/>
    <col min="3" max="3" width="4.42578125" style="24" customWidth="1"/>
    <col min="4" max="4" width="9.7109375" style="24" customWidth="1"/>
    <col min="5" max="5" width="9" style="24" customWidth="1"/>
    <col min="6" max="6" width="13" style="24" customWidth="1"/>
    <col min="7" max="7" width="10.7109375" style="24" customWidth="1"/>
    <col min="8" max="8" width="10.5703125" style="24" customWidth="1"/>
    <col min="9" max="9" width="12.5703125" style="24" customWidth="1"/>
    <col min="10" max="11" width="12.140625" style="24" customWidth="1"/>
    <col min="12" max="12" width="5" style="24" customWidth="1"/>
    <col min="13" max="13" width="19.85546875" style="24" customWidth="1"/>
    <col min="14" max="14" width="14.42578125" style="24" customWidth="1"/>
    <col min="15" max="15" width="13.28515625" style="24" customWidth="1"/>
    <col min="16" max="16" width="12" style="24" customWidth="1"/>
    <col min="17" max="17" width="13.42578125" style="24" customWidth="1"/>
    <col min="18" max="18" width="12" style="24" customWidth="1"/>
    <col min="19" max="19" width="18.5703125" style="24" customWidth="1"/>
    <col min="20" max="20" width="12.28515625" style="24" customWidth="1"/>
    <col min="21" max="21" width="12.42578125" style="24" customWidth="1"/>
    <col min="22" max="22" width="20.85546875" style="24" customWidth="1"/>
    <col min="23" max="16384" width="11.42578125" style="24"/>
  </cols>
  <sheetData>
    <row r="1" spans="1:19" ht="36" customHeight="1" x14ac:dyDescent="0.25">
      <c r="A1" s="7" t="s">
        <v>1</v>
      </c>
      <c r="B1" s="8"/>
      <c r="D1" s="13" t="s">
        <v>15</v>
      </c>
      <c r="E1" s="13" t="s">
        <v>13</v>
      </c>
      <c r="F1" s="13" t="s">
        <v>5</v>
      </c>
      <c r="G1" s="13" t="s">
        <v>21</v>
      </c>
      <c r="H1" s="13" t="s">
        <v>9</v>
      </c>
      <c r="I1" s="13" t="s">
        <v>11</v>
      </c>
      <c r="J1" s="13" t="s">
        <v>14</v>
      </c>
      <c r="K1" s="13" t="s">
        <v>44</v>
      </c>
      <c r="M1" s="25" t="s">
        <v>5</v>
      </c>
      <c r="N1" s="25" t="s">
        <v>3</v>
      </c>
      <c r="O1" s="25" t="s">
        <v>16</v>
      </c>
      <c r="P1" s="25" t="s">
        <v>17</v>
      </c>
      <c r="Q1" s="25" t="s">
        <v>7</v>
      </c>
      <c r="R1" s="25" t="s">
        <v>8</v>
      </c>
      <c r="S1" s="13" t="s">
        <v>0</v>
      </c>
    </row>
    <row r="2" spans="1:19" ht="15.75" x14ac:dyDescent="0.25">
      <c r="A2" s="2" t="s">
        <v>2</v>
      </c>
      <c r="B2" s="3">
        <f>SUM(B1,(SUM(J2:J999)))</f>
        <v>0</v>
      </c>
      <c r="D2" s="2">
        <v>1</v>
      </c>
      <c r="E2" s="6"/>
      <c r="F2" s="2"/>
      <c r="G2" s="2"/>
      <c r="H2" s="2"/>
      <c r="I2" s="2" t="str">
        <f>IF(J2="","",IF(J2&gt;3,"Ganado",IF(J2&lt;-3,"Perdido","Break Even")))</f>
        <v/>
      </c>
      <c r="J2" s="3"/>
      <c r="K2" s="5" t="str">
        <f>IFERROR(Tabla347911[[#This Row],[USD]]/$B$1,"")</f>
        <v/>
      </c>
      <c r="M2" s="26" t="s">
        <v>4</v>
      </c>
      <c r="N2" s="26">
        <f>COUNTIFS(F2:F999,"100x")</f>
        <v>0</v>
      </c>
      <c r="O2" s="27" t="str">
        <f>IFERROR((COUNTIFS(F2:F999,"100x",G2:G999,"Ida",I2:I999,"Ganado"))/(COUNTIFS(F2:F999,"100x",G2:G999,"Ida")),"Sin Datos")</f>
        <v>Sin Datos</v>
      </c>
      <c r="P2" s="27" t="str">
        <f>IFERROR((COUNTIFS(F2:F999,"100x",G2:G999,"Vuelta",I2:I999,"Ganado"))/(COUNTIFS(F2:F999,"100x",G2:G999,"Vuelta")),"Sin Datos")</f>
        <v>Sin Datos</v>
      </c>
      <c r="Q2" s="27" t="str">
        <f>IFERROR((COUNTIFS(F2:F999,"100x",H2:H999,"Long",I2:I999,"Ganado"))/(COUNTIFS(F2:F999,"100x",H2:H999,"Long")),"Sin Datos")</f>
        <v>Sin Datos</v>
      </c>
      <c r="R2" s="27" t="str">
        <f>IFERROR((COUNTIFS(F2:F999,"100x",H2:H999,"Short",I2:I999,"Ganado"))/(COUNTIFS(F2:F999,"100x",H2:H999,"Short")),"Sin Datos")</f>
        <v>Sin Datos</v>
      </c>
      <c r="S2" s="4" t="str">
        <f>IFERROR((COUNTIFS(F2:F999,"100x",I2:I999,"Ganado"))/(N2),"Sin Datos")</f>
        <v>Sin Datos</v>
      </c>
    </row>
    <row r="3" spans="1:19" ht="15.75" x14ac:dyDescent="0.25">
      <c r="A3" s="2" t="s">
        <v>45</v>
      </c>
      <c r="B3" s="3">
        <f>SUM(J2:J999)</f>
        <v>0</v>
      </c>
      <c r="D3" s="2">
        <v>2</v>
      </c>
      <c r="E3" s="6"/>
      <c r="F3" s="2"/>
      <c r="G3" s="2"/>
      <c r="H3" s="2"/>
      <c r="I3" s="2" t="str">
        <f t="shared" ref="I3:I66" si="0">IF(J3="","",IF(J3&gt;3,"Ganado",IF(J3&lt;-3,"Perdido","Break Even")))</f>
        <v/>
      </c>
      <c r="J3" s="3"/>
      <c r="K3" s="5" t="str">
        <f>IFERROR(Tabla347911[[#This Row],[USD]]/$B$1,"")</f>
        <v/>
      </c>
      <c r="M3" s="26" t="s">
        <v>22</v>
      </c>
      <c r="N3" s="2">
        <f>COUNTIFS(F2:F999,"50x")</f>
        <v>0</v>
      </c>
      <c r="O3" s="27" t="str">
        <f>IFERROR((COUNTIFS(F2:F999,"50x",G2:G999,"Ida",I2:I999,"Ganado"))/(COUNTIFS(F2:F999,"50x",G2:G999,"Ida")),"Sin Datos")</f>
        <v>Sin Datos</v>
      </c>
      <c r="P3" s="27" t="str">
        <f>IFERROR((COUNTIFS(F2:F999,"50x",G2:G999,"Vuelta",I2:I999,"Ganado"))/(COUNTIFS(F2:F999,"50x",G2:G999,"Vuelta")),"Sin Datos")</f>
        <v>Sin Datos</v>
      </c>
      <c r="Q3" s="27" t="str">
        <f>IFERROR((COUNTIFS(F2:F999,"50x",H2:H999,"Long",I2:I999,"Ganado"))/(COUNTIFS(F2:F999,"50x",H2:H999,"Long")),"Sin Datos")</f>
        <v>Sin Datos</v>
      </c>
      <c r="R3" s="27" t="str">
        <f>IFERROR((COUNTIFS(F2:F999,"50x",H2:H999,"Short",I2:I999,"Ganado"))/(COUNTIFS(F2:F999,"50x",H2:H999,"Short")),"Sin Datos")</f>
        <v>Sin Datos</v>
      </c>
      <c r="S3" s="4" t="str">
        <f>IFERROR((COUNTIFS(F2:F999,"50x",I2:I999,"Ganado"))/(N3),"Sin Datos")</f>
        <v>Sin Datos</v>
      </c>
    </row>
    <row r="4" spans="1:19" ht="15.75" x14ac:dyDescent="0.25">
      <c r="A4" s="2" t="s">
        <v>43</v>
      </c>
      <c r="B4" s="3">
        <f>SUM(SUMIFS(J2:J999,F2:F999,"100x"),SUMIFS(J2:J999,F2:F999,"50x"),SUMIFS(J2:J999,F2:F999,"25x"),SUMIFS(J2:J999,F2:F999,"10x"),SUMIFS(J2:J999,F2:F999,"5x"))</f>
        <v>0</v>
      </c>
      <c r="D4" s="2">
        <v>3</v>
      </c>
      <c r="E4" s="6"/>
      <c r="F4" s="2"/>
      <c r="G4" s="2"/>
      <c r="H4" s="2"/>
      <c r="I4" s="2" t="str">
        <f t="shared" si="0"/>
        <v/>
      </c>
      <c r="J4" s="3"/>
      <c r="K4" s="5" t="str">
        <f>IFERROR(Tabla347911[[#This Row],[USD]]/$B$1,"")</f>
        <v/>
      </c>
      <c r="M4" s="26" t="s">
        <v>23</v>
      </c>
      <c r="N4" s="26">
        <f>COUNTIFS(F2:F999,"25x")</f>
        <v>0</v>
      </c>
      <c r="O4" s="27" t="str">
        <f>IFERROR((COUNTIFS(F2:F999,"25x",G2:G999,"Ida",I2:I999,"Ganado"))/(COUNTIFS(F2:F999,"25x",G2:G999,"Ida")),"Sin Datos")</f>
        <v>Sin Datos</v>
      </c>
      <c r="P4" s="27" t="str">
        <f>IFERROR((COUNTIFS(F2:F999,"25x",G2:G999,"Vuelta",I2:I999,"Ganado"))/(COUNTIFS(F2:F999,"25x",G2:G999,"Vuelta")),"Sin Datos")</f>
        <v>Sin Datos</v>
      </c>
      <c r="Q4" s="27" t="str">
        <f>IFERROR((COUNTIFS(F2:F999,"25x",H2:H999,"Long",I2:I999,"Ganado"))/(COUNTIFS(F2:F999,"25x",H2:H999,"Long")),"Sin Datos")</f>
        <v>Sin Datos</v>
      </c>
      <c r="R4" s="27" t="str">
        <f>IFERROR((COUNTIFS(F2:F999,"25x",H2:H999,"Short",I2:I999,"Ganado"))/(COUNTIFS(F2:F999,"25x",H2:H999,"Short")),"Sin Datos")</f>
        <v>Sin Datos</v>
      </c>
      <c r="S4" s="4" t="str">
        <f>IFERROR((COUNTIFS(F2:F999,"25x",I2:I999,"Ganado"))/(N4),"Sin Datos")</f>
        <v>Sin Datos</v>
      </c>
    </row>
    <row r="5" spans="1:19" ht="15.75" x14ac:dyDescent="0.25">
      <c r="A5" s="2" t="s">
        <v>42</v>
      </c>
      <c r="B5" s="3">
        <f>SUM(SUMIFS(J2:J999,F2:F999,"BatiBot"),SUMIFS(J2:J999,F2:F999,"WolfiBot"),SUMIFS(J2:J999,F2:F999,"CondorBot"))</f>
        <v>0</v>
      </c>
      <c r="D5" s="2">
        <v>4</v>
      </c>
      <c r="E5" s="6"/>
      <c r="F5" s="2"/>
      <c r="G5" s="2"/>
      <c r="H5" s="2"/>
      <c r="I5" s="2" t="str">
        <f t="shared" si="0"/>
        <v/>
      </c>
      <c r="J5" s="3"/>
      <c r="K5" s="5" t="str">
        <f>IFERROR(Tabla347911[[#This Row],[USD]]/$B$1,"")</f>
        <v/>
      </c>
      <c r="M5" s="2" t="s">
        <v>24</v>
      </c>
      <c r="N5" s="2">
        <f>COUNTIFS(F2:F999,"10x")</f>
        <v>0</v>
      </c>
      <c r="O5" s="27" t="str">
        <f>IFERROR((COUNTIFS(F2:F999,"10x",G2:G999,"Ida",I2:I999,"Ganado"))/(COUNTIFS(F2:F999,"10x",G2:G999,"Ida")),"Sin Datos")</f>
        <v>Sin Datos</v>
      </c>
      <c r="P5" s="27" t="str">
        <f>IFERROR((COUNTIFS(F2:F999,"10x",G2:G999,"Vuelta",I2:I999,"Ganado"))/(COUNTIFS(F2:F999,"10x",G2:G999,"Vuelta")),"Sin Datos")</f>
        <v>Sin Datos</v>
      </c>
      <c r="Q5" s="27" t="str">
        <f>IFERROR((COUNTIFS(F2:F999,"10x",H2:H999,"Long",I2:I999,"Ganado"))/(COUNTIFS(F2:F999,"10x",H2:H999,"Long")),"Sin Datos")</f>
        <v>Sin Datos</v>
      </c>
      <c r="R5" s="27" t="str">
        <f>IFERROR((COUNTIFS(F2:F999,"10x",H2:H999,"Short",I2:I999,"Ganado"))/(COUNTIFS(F2:F999,"10x",H2:H999,"Short")),"Sin Datos")</f>
        <v>Sin Datos</v>
      </c>
      <c r="S5" s="4" t="str">
        <f>IFERROR((COUNTIFS(F2:F999,"10x",I2:I999,"Ganado"))/(N5),"Sin Datos")</f>
        <v>Sin Datos</v>
      </c>
    </row>
    <row r="6" spans="1:19" ht="15.75" x14ac:dyDescent="0.25">
      <c r="A6" s="2" t="s">
        <v>41</v>
      </c>
      <c r="B6" s="3">
        <f>SUMIFS(J2:J999,F2:F999,"Otras")</f>
        <v>0</v>
      </c>
      <c r="D6" s="2">
        <v>5</v>
      </c>
      <c r="E6" s="6"/>
      <c r="F6" s="2"/>
      <c r="G6" s="2"/>
      <c r="H6" s="2"/>
      <c r="I6" s="2" t="str">
        <f t="shared" si="0"/>
        <v/>
      </c>
      <c r="J6" s="3"/>
      <c r="K6" s="5" t="str">
        <f>IFERROR(Tabla347911[[#This Row],[USD]]/$B$1,"")</f>
        <v/>
      </c>
      <c r="M6" s="2" t="s">
        <v>33</v>
      </c>
      <c r="N6" s="6">
        <f>COUNTIFS(F2:F999,"5x")</f>
        <v>0</v>
      </c>
      <c r="O6" s="27" t="str">
        <f>IFERROR((COUNTIFS(F2:F999,"5x",G2:G999,"Ida",I2:I999,"Ganado"))/(COUNTIFS(F2:F999,"5x",G2:G999,"Ida")),"Sin Datos")</f>
        <v>Sin Datos</v>
      </c>
      <c r="P6" s="27" t="str">
        <f>IFERROR((COUNTIFS(F2:F999,"5x",G2:G999,"Vuelta",I2:I999,"Ganado"))/(COUNTIFS(F2:F999,"5x",G2:G999,"Vuelta")),"Sin Datos")</f>
        <v>Sin Datos</v>
      </c>
      <c r="Q6" s="27" t="str">
        <f>IFERROR((COUNTIFS(F2:F999,"5x",H2:H999,"Long",I2:I999,"Ganado"))/(COUNTIFS(F2:F999,"5x",H2:H999,"Long")),"Sin Datos")</f>
        <v>Sin Datos</v>
      </c>
      <c r="R6" s="27" t="str">
        <f>IFERROR((COUNTIFS(F2:F999,"5x",H2:H999,"Short",I2:I999,"Ganado"))/(COUNTIFS(F2:F999,"5x",H2:H999,"Short")),"Sin Datos")</f>
        <v>Sin Datos</v>
      </c>
      <c r="S6" s="4" t="str">
        <f>IFERROR((COUNTIFS(F2:F999,"5x",I2:I999,"Ganado"))/(N6),"Sin Datos")</f>
        <v>Sin Datos</v>
      </c>
    </row>
    <row r="7" spans="1:19" ht="15.75" x14ac:dyDescent="0.25">
      <c r="A7" s="2" t="s">
        <v>40</v>
      </c>
      <c r="B7" s="3">
        <f>IFERROR((B3/SUM(IF(FREQUENCY(E2:E999,E2:E999),1))),0)</f>
        <v>0</v>
      </c>
      <c r="D7" s="2">
        <v>6</v>
      </c>
      <c r="E7" s="6"/>
      <c r="F7" s="2"/>
      <c r="G7" s="2"/>
      <c r="H7" s="2"/>
      <c r="I7" s="2" t="str">
        <f t="shared" si="0"/>
        <v/>
      </c>
      <c r="J7" s="3"/>
      <c r="K7" s="5" t="str">
        <f>IFERROR(Tabla347911[[#This Row],[USD]]/$B$1,"")</f>
        <v/>
      </c>
      <c r="M7" s="26" t="s">
        <v>19</v>
      </c>
      <c r="N7" s="26">
        <f>COUNTIFS(F2:F999,"BatiBot")</f>
        <v>0</v>
      </c>
      <c r="O7" s="27" t="str">
        <f>IFERROR((COUNTIFS(F2:F999,"BatiBot",G2:G999,"Ida",I2:I999,"Ganado"))/(COUNTIFS(F2:F999,"BatiBot",G2:G999,"Ida")),"Sin Datos")</f>
        <v>Sin Datos</v>
      </c>
      <c r="P7" s="27" t="str">
        <f>IFERROR((COUNTIFS(F2:F999,"BatiBot",G2:G999,"Vuelta",I2:I999,"Ganado"))/(COUNTIFS(F2:F999,"BatiBot",G2:G999,"Vuelta")),"Sin Datos")</f>
        <v>Sin Datos</v>
      </c>
      <c r="Q7" s="27" t="str">
        <f>IFERROR((COUNTIFS(F2:F999,"BatiBot",H2:H999,"Long",I2:I999,"Ganado"))/(COUNTIFS(F2:F999,"BatiBot",H2:H999,"Long")),"Sin Datos")</f>
        <v>Sin Datos</v>
      </c>
      <c r="R7" s="27" t="str">
        <f>IFERROR((COUNTIFS(F2:F999,"BatiBot",H2:H999,"Short",I2:I999,"Ganado"))/(COUNTIFS(F2:F999,"BatiBot",H2:H999,"Short")),"Sin Datos")</f>
        <v>Sin Datos</v>
      </c>
      <c r="S7" s="4" t="str">
        <f>IFERROR((COUNTIFS(F2:F999,"BatiBot",I2:I999,"Ganado"))/(N7),"Sin Datos")</f>
        <v>Sin Datos</v>
      </c>
    </row>
    <row r="8" spans="1:19" ht="15.75" x14ac:dyDescent="0.25">
      <c r="A8" s="2" t="s">
        <v>20</v>
      </c>
      <c r="B8" s="2"/>
      <c r="D8" s="2">
        <v>7</v>
      </c>
      <c r="E8" s="6"/>
      <c r="F8" s="2"/>
      <c r="G8" s="2"/>
      <c r="H8" s="2"/>
      <c r="I8" s="2" t="str">
        <f t="shared" si="0"/>
        <v/>
      </c>
      <c r="J8" s="3"/>
      <c r="K8" s="5" t="str">
        <f>IFERROR(Tabla347911[[#This Row],[USD]]/$B$1,"")</f>
        <v/>
      </c>
      <c r="M8" s="2" t="s">
        <v>18</v>
      </c>
      <c r="N8" s="2">
        <f>COUNTIFS(F2:F999,"WolfiBot")</f>
        <v>0</v>
      </c>
      <c r="O8" s="27" t="str">
        <f>IFERROR((COUNTIFS(F2:F999,"WolfiBot",G2:G999,"Ida",I2:I999,"Ganado"))/(COUNTIFS(F2:F999,"WolfiBot",G2:G999,"Ida")),"Sin Datos")</f>
        <v>Sin Datos</v>
      </c>
      <c r="P8" s="27" t="str">
        <f>IFERROR((COUNTIFS(F2:F999,"WolfiBot",G2:G999,"Vuelta",I2:I999,"Ganado"))/(COUNTIFS(F2:F999,"WolfiBot",G2:G999,"Vuelta")),"Sin Datos")</f>
        <v>Sin Datos</v>
      </c>
      <c r="Q8" s="27" t="str">
        <f>IFERROR((COUNTIFS(F2:F999,"WolfiBot",H2:H999,"Long",I2:I999,"Ganado"))/(COUNTIFS(F2:F999,"WolfiBot",H2:H999,"Long")),"Sin Datos")</f>
        <v>Sin Datos</v>
      </c>
      <c r="R8" s="27" t="str">
        <f>IFERROR((COUNTIFS(F2:F999,"WolfiBot",H2:H999,"Short",I2:I999,"Ganado"))/(COUNTIFS(F2:F999,"WolfiBot",H2:H999,"Short")),"Sin Datos")</f>
        <v>Sin Datos</v>
      </c>
      <c r="S8" s="4" t="str">
        <f>IFERROR((COUNTIFS(F2:F999,"WolfiBot",I2:I999,"Ganado"))/(N8),"Sin Datos")</f>
        <v>Sin Datos</v>
      </c>
    </row>
    <row r="9" spans="1:19" ht="15.75" x14ac:dyDescent="0.25">
      <c r="A9" s="2" t="s">
        <v>12</v>
      </c>
      <c r="B9" s="2">
        <f>N11</f>
        <v>0</v>
      </c>
      <c r="D9" s="2">
        <v>8</v>
      </c>
      <c r="E9" s="6"/>
      <c r="F9" s="2"/>
      <c r="G9" s="2"/>
      <c r="H9" s="2"/>
      <c r="I9" s="2" t="str">
        <f t="shared" si="0"/>
        <v/>
      </c>
      <c r="J9" s="3"/>
      <c r="K9" s="5" t="str">
        <f>IFERROR(Tabla347911[[#This Row],[USD]]/$B$1,"")</f>
        <v/>
      </c>
      <c r="M9" s="26" t="s">
        <v>25</v>
      </c>
      <c r="N9" s="2">
        <f>COUNTIFS(F2:F999,"CondorBot")</f>
        <v>0</v>
      </c>
      <c r="O9" s="27" t="str">
        <f>IFERROR((COUNTIFS(F2:F999,"CondorBot",G2:G999,"Ida",I2:I999,"Ganado"))/(COUNTIFS(F2:F999,"CondorBot",G2:G999,"Ida")),"Sin Datos")</f>
        <v>Sin Datos</v>
      </c>
      <c r="P9" s="27" t="str">
        <f>IFERROR((COUNTIFS(F2:F999,"CondorBot",G2:G999,"Vuelta",I2:I999,"Ganado"))/(COUNTIFS(F2:F999,"CondorBot",G2:G999,"Vuelta")),"Sin Datos")</f>
        <v>Sin Datos</v>
      </c>
      <c r="Q9" s="27" t="str">
        <f>IFERROR((COUNTIFS(F2:F999,"CondorBot",H2:H999,"Long",I2:I999,"Ganado"))/(COUNTIFS(F2:F999,"CondorBot",H2:H999,"Long")),"Sin Datos")</f>
        <v>Sin Datos</v>
      </c>
      <c r="R9" s="27" t="str">
        <f>IFERROR((COUNTIFS(F2:F999,"CondorBot",H2:H999,"Short",I2:I999,"Ganado"))/(COUNTIFS(F2:F999,"CondorBot",H2:H999,"Short")),"Sin Datos")</f>
        <v>Sin Datos</v>
      </c>
      <c r="S9" s="4" t="str">
        <f>IFERROR((COUNTIFS(F2:F999,"CondorBot",I2:I999,"Ganado"))/(N9),"Sin Datos")</f>
        <v>Sin Datos</v>
      </c>
    </row>
    <row r="10" spans="1:19" ht="15.75" x14ac:dyDescent="0.25">
      <c r="A10" s="2" t="s">
        <v>31</v>
      </c>
      <c r="B10" s="2">
        <f>SUM(N2:N6)</f>
        <v>0</v>
      </c>
      <c r="D10" s="2">
        <v>9</v>
      </c>
      <c r="E10" s="6"/>
      <c r="F10" s="2"/>
      <c r="G10" s="2"/>
      <c r="H10" s="2"/>
      <c r="I10" s="2" t="str">
        <f t="shared" si="0"/>
        <v/>
      </c>
      <c r="J10" s="3"/>
      <c r="K10" s="5" t="str">
        <f>IFERROR(Tabla347911[[#This Row],[USD]]/$B$1,"")</f>
        <v/>
      </c>
      <c r="M10" s="26" t="s">
        <v>34</v>
      </c>
      <c r="N10" s="6">
        <f>COUNTIFS(F2:F999,"Otras")</f>
        <v>0</v>
      </c>
      <c r="O10" s="27" t="str">
        <f>IFERROR((COUNTIFS(F2:F999,"Otras",G2:G999,"Ida",I2:I999,"Ganado"))/(COUNTIFS(F2:F999,"Otras",G2:G999,"Ida")),"Sin Datos")</f>
        <v>Sin Datos</v>
      </c>
      <c r="P10" s="27" t="str">
        <f>IFERROR((COUNTIFS(F2:F999,"Otras",G2:G999,"Vuelta",I2:I999,"Ganado"))/(COUNTIFS(F2:F999,"Otras",G2:G999,"Vuelta")),"Sin Datos")</f>
        <v>Sin Datos</v>
      </c>
      <c r="Q10" s="27" t="str">
        <f>IFERROR((COUNTIFS(F2:F999,"Otras",H2:H999,"Long",I2:I999,"Ganado"))/(COUNTIFS(F2:F999,"Otras",H2:H999,"Long")),"Sin Datos")</f>
        <v>Sin Datos</v>
      </c>
      <c r="R10" s="27" t="str">
        <f>IFERROR((COUNTIFS(F2:F999,"Otras",H2:H999,"Short",I2:I999,"Ganado"))/(COUNTIFS(F2:F999,"Otras",H2:H999,"Short")),"Sin Datos")</f>
        <v>Sin Datos</v>
      </c>
      <c r="S10" s="4" t="str">
        <f>IFERROR((COUNTIFS(F2:F999,"Otras",I2:I999,"Ganado"))/(N10),"Sin Datos")</f>
        <v>Sin Datos</v>
      </c>
    </row>
    <row r="11" spans="1:19" ht="18.75" x14ac:dyDescent="0.25">
      <c r="A11" s="2" t="s">
        <v>32</v>
      </c>
      <c r="B11" s="2">
        <f>SUM(N7:N9)</f>
        <v>0</v>
      </c>
      <c r="D11" s="2">
        <v>10</v>
      </c>
      <c r="E11" s="6"/>
      <c r="F11" s="2"/>
      <c r="G11" s="2"/>
      <c r="H11" s="2"/>
      <c r="I11" s="2" t="str">
        <f t="shared" si="0"/>
        <v/>
      </c>
      <c r="J11" s="3"/>
      <c r="K11" s="5" t="str">
        <f>IFERROR(Tabla347911[[#This Row],[USD]]/$B$1,"")</f>
        <v/>
      </c>
      <c r="M11" s="28" t="s">
        <v>6</v>
      </c>
      <c r="N11" s="28">
        <f>COUNT(J2:J999)</f>
        <v>0</v>
      </c>
      <c r="O11" s="29" t="str">
        <f>IFERROR((COUNTIFS(G2:G999,"Ida",I2:I999,"Ganado"))/(COUNTIFS(G2:G999,"Ida")),"Sin Datos")</f>
        <v>Sin Datos</v>
      </c>
      <c r="P11" s="29" t="str">
        <f>IFERROR((COUNTIFS(G2:G999,"Vuelta",I2:I999,"Ganado"))/(COUNTIFS(G2:G999,"Vuelta")),"Sin Datos")</f>
        <v>Sin Datos</v>
      </c>
      <c r="Q11" s="29" t="str">
        <f>IFERROR((COUNTIFS(H2:H999,"Long",I2:I999,"Ganado"))/(COUNTIFS(H2:H999,"Long")),"Sin Datos")</f>
        <v>Sin Datos</v>
      </c>
      <c r="R11" s="29" t="str">
        <f>IFERROR((COUNTIFS(H2:H999,"Short",I2:I999,"Ganado"))/(COUNTIFS(H2:H999,"Short")),"Sin Datos")</f>
        <v>Sin Datos</v>
      </c>
      <c r="S11" s="29" t="str">
        <f>IFERROR((COUNTIF(I2:I999,"Ganado"))/(N11),"Sin Datos")</f>
        <v>Sin Datos</v>
      </c>
    </row>
    <row r="12" spans="1:19" ht="15.75" x14ac:dyDescent="0.25">
      <c r="A12" s="2" t="s">
        <v>36</v>
      </c>
      <c r="B12" s="2">
        <f>N10</f>
        <v>0</v>
      </c>
      <c r="D12" s="2">
        <v>11</v>
      </c>
      <c r="E12" s="6"/>
      <c r="F12" s="2"/>
      <c r="G12" s="2"/>
      <c r="H12" s="2"/>
      <c r="I12" s="2" t="str">
        <f t="shared" si="0"/>
        <v/>
      </c>
      <c r="J12" s="3"/>
      <c r="K12" s="5" t="str">
        <f>IFERROR(Tabla347911[[#This Row],[USD]]/$B$1,"")</f>
        <v/>
      </c>
    </row>
    <row r="13" spans="1:19" ht="15.75" x14ac:dyDescent="0.25">
      <c r="A13" s="2" t="s">
        <v>10</v>
      </c>
      <c r="B13" s="4" t="str">
        <f>S11</f>
        <v>Sin Datos</v>
      </c>
      <c r="D13" s="2">
        <v>12</v>
      </c>
      <c r="E13" s="6"/>
      <c r="F13" s="2"/>
      <c r="G13" s="2"/>
      <c r="H13" s="2"/>
      <c r="I13" s="2" t="str">
        <f t="shared" si="0"/>
        <v/>
      </c>
      <c r="J13" s="3"/>
      <c r="K13" s="5" t="str">
        <f>IFERROR(Tabla347911[[#This Row],[USD]]/$B$1,"")</f>
        <v/>
      </c>
      <c r="M13" s="85" t="s">
        <v>38</v>
      </c>
      <c r="N13" s="85"/>
      <c r="O13" s="1"/>
      <c r="R13" s="30"/>
    </row>
    <row r="14" spans="1:19" ht="15.75" x14ac:dyDescent="0.25">
      <c r="A14" s="2" t="s">
        <v>29</v>
      </c>
      <c r="B14" s="4" t="str">
        <f>IFERROR(AVERAGE(S2:S6),"Sin Datos")</f>
        <v>Sin Datos</v>
      </c>
      <c r="D14" s="2">
        <v>13</v>
      </c>
      <c r="E14" s="6"/>
      <c r="F14" s="2"/>
      <c r="G14" s="2"/>
      <c r="H14" s="2"/>
      <c r="I14" s="2" t="str">
        <f t="shared" si="0"/>
        <v/>
      </c>
      <c r="J14" s="3"/>
      <c r="K14" s="5" t="str">
        <f>IFERROR(Tabla347911[[#This Row],[USD]]/$B$1,"")</f>
        <v/>
      </c>
      <c r="M14" s="2" t="s">
        <v>39</v>
      </c>
      <c r="N14" s="2"/>
      <c r="O14" s="1"/>
    </row>
    <row r="15" spans="1:19" ht="15.75" x14ac:dyDescent="0.25">
      <c r="A15" s="2" t="s">
        <v>30</v>
      </c>
      <c r="B15" s="4" t="str">
        <f>IFERROR(AVERAGE(S7:S9),"Sin Datos")</f>
        <v>Sin Datos</v>
      </c>
      <c r="D15" s="2">
        <v>14</v>
      </c>
      <c r="E15" s="6"/>
      <c r="F15" s="2"/>
      <c r="G15" s="2"/>
      <c r="H15" s="2"/>
      <c r="I15" s="2" t="str">
        <f t="shared" si="0"/>
        <v/>
      </c>
      <c r="J15" s="3"/>
      <c r="K15" s="5" t="str">
        <f>IFERROR(Tabla347911[[#This Row],[USD]]/$B$1,"")</f>
        <v/>
      </c>
      <c r="M15" s="2" t="s">
        <v>37</v>
      </c>
      <c r="N15" s="2"/>
      <c r="O15" s="1"/>
    </row>
    <row r="16" spans="1:19" ht="15.75" x14ac:dyDescent="0.25">
      <c r="A16" s="2" t="s">
        <v>35</v>
      </c>
      <c r="B16" s="4" t="str">
        <f>S10</f>
        <v>Sin Datos</v>
      </c>
      <c r="D16" s="2">
        <v>15</v>
      </c>
      <c r="E16" s="6"/>
      <c r="F16" s="2"/>
      <c r="G16" s="2"/>
      <c r="H16" s="2"/>
      <c r="I16" s="2" t="str">
        <f t="shared" si="0"/>
        <v/>
      </c>
      <c r="J16" s="3"/>
      <c r="K16" s="5" t="str">
        <f>IFERROR(Tabla347911[[#This Row],[USD]]/$B$1,"")</f>
        <v/>
      </c>
      <c r="M16" s="2" t="s">
        <v>11</v>
      </c>
      <c r="N16" s="2">
        <f>(N15*N14)</f>
        <v>0</v>
      </c>
      <c r="O16" s="1"/>
    </row>
    <row r="17" spans="1:11" ht="15.75" x14ac:dyDescent="0.25">
      <c r="A17" s="2" t="s">
        <v>46</v>
      </c>
      <c r="B17" s="5">
        <f>AVERAGE(SUM(K2:K999))</f>
        <v>0</v>
      </c>
      <c r="D17" s="2">
        <v>16</v>
      </c>
      <c r="E17" s="6"/>
      <c r="F17" s="2"/>
      <c r="G17" s="2"/>
      <c r="H17" s="2"/>
      <c r="I17" s="2" t="str">
        <f t="shared" si="0"/>
        <v/>
      </c>
      <c r="J17" s="3"/>
      <c r="K17" s="5" t="str">
        <f>IFERROR(Tabla347911[[#This Row],[USD]]/$B$1,"")</f>
        <v/>
      </c>
    </row>
    <row r="18" spans="1:11" ht="15.75" x14ac:dyDescent="0.25">
      <c r="A18" s="2" t="s">
        <v>47</v>
      </c>
      <c r="B18" s="5">
        <f>SUM(SUMIFS(K2:K999,F2:F999,"100x"),SUMIFS(K2:K999,F2:F999,"50x"),SUMIFS(K2:K999,F2:F999,"25x"),SUMIFS(K2:K999,F2:F999,"10x"),SUMIFS(K2:K999,F2:F999,"5x"))</f>
        <v>0</v>
      </c>
      <c r="D18" s="2">
        <v>17</v>
      </c>
      <c r="E18" s="6"/>
      <c r="F18" s="2"/>
      <c r="G18" s="2"/>
      <c r="H18" s="2"/>
      <c r="I18" s="2" t="str">
        <f t="shared" si="0"/>
        <v/>
      </c>
      <c r="J18" s="3"/>
      <c r="K18" s="5" t="str">
        <f>IFERROR(Tabla347911[[#This Row],[USD]]/$B$1,"")</f>
        <v/>
      </c>
    </row>
    <row r="19" spans="1:11" ht="15.75" x14ac:dyDescent="0.25">
      <c r="A19" s="2" t="s">
        <v>48</v>
      </c>
      <c r="B19" s="5">
        <f>SUM(SUMIFS(K2:K999,F2:F999,"BatiBot"),SUMIFS(K2:K999,F2:F999,"WolfiBot"),SUMIFS(K2:K999,F2:F999,"CondorBot"))</f>
        <v>0</v>
      </c>
      <c r="D19" s="2">
        <v>18</v>
      </c>
      <c r="E19" s="6"/>
      <c r="F19" s="2"/>
      <c r="G19" s="2"/>
      <c r="H19" s="2"/>
      <c r="I19" s="2" t="str">
        <f t="shared" si="0"/>
        <v/>
      </c>
      <c r="J19" s="3"/>
      <c r="K19" s="5" t="str">
        <f>IFERROR(Tabla347911[[#This Row],[USD]]/$B$1,"")</f>
        <v/>
      </c>
    </row>
    <row r="20" spans="1:11" ht="15.75" x14ac:dyDescent="0.25">
      <c r="A20" s="2" t="s">
        <v>49</v>
      </c>
      <c r="B20" s="5">
        <f>SUMIFS(K2:K999,F2:F999,"Otras")</f>
        <v>0</v>
      </c>
      <c r="D20" s="2">
        <v>19</v>
      </c>
      <c r="E20" s="6"/>
      <c r="F20" s="2"/>
      <c r="G20" s="2"/>
      <c r="H20" s="2"/>
      <c r="I20" s="2" t="str">
        <f t="shared" si="0"/>
        <v/>
      </c>
      <c r="J20" s="3"/>
      <c r="K20" s="5" t="str">
        <f>IFERROR(Tabla347911[[#This Row],[USD]]/$B$1,"")</f>
        <v/>
      </c>
    </row>
    <row r="21" spans="1:11" ht="15.75" x14ac:dyDescent="0.25">
      <c r="D21" s="2">
        <v>20</v>
      </c>
      <c r="E21" s="6"/>
      <c r="F21" s="2"/>
      <c r="G21" s="2"/>
      <c r="H21" s="2"/>
      <c r="I21" s="2" t="str">
        <f t="shared" si="0"/>
        <v/>
      </c>
      <c r="J21" s="3"/>
      <c r="K21" s="5" t="str">
        <f>IFERROR(Tabla347911[[#This Row],[USD]]/$B$1,"")</f>
        <v/>
      </c>
    </row>
    <row r="22" spans="1:11" ht="15.75" x14ac:dyDescent="0.25">
      <c r="D22" s="2">
        <v>21</v>
      </c>
      <c r="E22" s="6"/>
      <c r="F22" s="2"/>
      <c r="G22" s="2"/>
      <c r="H22" s="2"/>
      <c r="I22" s="2" t="str">
        <f t="shared" si="0"/>
        <v/>
      </c>
      <c r="J22" s="3"/>
      <c r="K22" s="5" t="str">
        <f>IFERROR(Tabla347911[[#This Row],[USD]]/$B$1,"")</f>
        <v/>
      </c>
    </row>
    <row r="23" spans="1:11" ht="15.75" x14ac:dyDescent="0.25">
      <c r="D23" s="2">
        <v>22</v>
      </c>
      <c r="E23" s="6"/>
      <c r="F23" s="2"/>
      <c r="G23" s="2"/>
      <c r="H23" s="2"/>
      <c r="I23" s="2" t="str">
        <f t="shared" si="0"/>
        <v/>
      </c>
      <c r="J23" s="3"/>
      <c r="K23" s="5" t="str">
        <f>IFERROR(Tabla347911[[#This Row],[USD]]/$B$1,"")</f>
        <v/>
      </c>
    </row>
    <row r="24" spans="1:11" ht="15.75" x14ac:dyDescent="0.25">
      <c r="D24" s="2">
        <v>23</v>
      </c>
      <c r="E24" s="6"/>
      <c r="F24" s="2"/>
      <c r="G24" s="2"/>
      <c r="H24" s="2"/>
      <c r="I24" s="2" t="str">
        <f t="shared" si="0"/>
        <v/>
      </c>
      <c r="J24" s="3"/>
      <c r="K24" s="5" t="str">
        <f>IFERROR(Tabla347911[[#This Row],[USD]]/$B$1,"")</f>
        <v/>
      </c>
    </row>
    <row r="25" spans="1:11" ht="15.75" x14ac:dyDescent="0.25">
      <c r="D25" s="2">
        <v>24</v>
      </c>
      <c r="E25" s="6"/>
      <c r="F25" s="2"/>
      <c r="G25" s="2"/>
      <c r="H25" s="2"/>
      <c r="I25" s="2" t="str">
        <f t="shared" si="0"/>
        <v/>
      </c>
      <c r="J25" s="3"/>
      <c r="K25" s="5" t="str">
        <f>IFERROR(Tabla347911[[#This Row],[USD]]/$B$1,"")</f>
        <v/>
      </c>
    </row>
    <row r="26" spans="1:11" ht="15.75" x14ac:dyDescent="0.25">
      <c r="D26" s="2">
        <v>25</v>
      </c>
      <c r="E26" s="6"/>
      <c r="F26" s="2"/>
      <c r="G26" s="2"/>
      <c r="H26" s="2"/>
      <c r="I26" s="2" t="str">
        <f t="shared" si="0"/>
        <v/>
      </c>
      <c r="J26" s="3"/>
      <c r="K26" s="5" t="str">
        <f>IFERROR(Tabla347911[[#This Row],[USD]]/$B$1,"")</f>
        <v/>
      </c>
    </row>
    <row r="27" spans="1:11" ht="15.75" x14ac:dyDescent="0.25">
      <c r="D27" s="2">
        <v>26</v>
      </c>
      <c r="E27" s="6"/>
      <c r="F27" s="2"/>
      <c r="G27" s="2"/>
      <c r="H27" s="2"/>
      <c r="I27" s="2" t="str">
        <f t="shared" si="0"/>
        <v/>
      </c>
      <c r="J27" s="3"/>
      <c r="K27" s="5" t="str">
        <f>IFERROR(Tabla347911[[#This Row],[USD]]/$B$1,"")</f>
        <v/>
      </c>
    </row>
    <row r="28" spans="1:11" ht="15.75" x14ac:dyDescent="0.25">
      <c r="D28" s="2">
        <v>27</v>
      </c>
      <c r="E28" s="6"/>
      <c r="F28" s="2"/>
      <c r="G28" s="2"/>
      <c r="H28" s="2"/>
      <c r="I28" s="2" t="str">
        <f t="shared" si="0"/>
        <v/>
      </c>
      <c r="J28" s="3"/>
      <c r="K28" s="5" t="str">
        <f>IFERROR(Tabla347911[[#This Row],[USD]]/$B$1,"")</f>
        <v/>
      </c>
    </row>
    <row r="29" spans="1:11" ht="15.75" x14ac:dyDescent="0.25">
      <c r="D29" s="2">
        <v>28</v>
      </c>
      <c r="E29" s="6"/>
      <c r="F29" s="2"/>
      <c r="G29" s="2"/>
      <c r="H29" s="2"/>
      <c r="I29" s="2" t="str">
        <f t="shared" si="0"/>
        <v/>
      </c>
      <c r="J29" s="3"/>
      <c r="K29" s="5" t="str">
        <f>IFERROR(Tabla347911[[#This Row],[USD]]/$B$1,"")</f>
        <v/>
      </c>
    </row>
    <row r="30" spans="1:11" ht="15.75" x14ac:dyDescent="0.25">
      <c r="D30" s="2">
        <v>29</v>
      </c>
      <c r="E30" s="6"/>
      <c r="F30" s="2"/>
      <c r="G30" s="2"/>
      <c r="H30" s="2"/>
      <c r="I30" s="2" t="str">
        <f t="shared" si="0"/>
        <v/>
      </c>
      <c r="J30" s="3"/>
      <c r="K30" s="5" t="str">
        <f>IFERROR(Tabla347911[[#This Row],[USD]]/$B$1,"")</f>
        <v/>
      </c>
    </row>
    <row r="31" spans="1:11" ht="15.75" x14ac:dyDescent="0.25">
      <c r="D31" s="2">
        <v>30</v>
      </c>
      <c r="E31" s="6"/>
      <c r="F31" s="2"/>
      <c r="G31" s="2"/>
      <c r="H31" s="2"/>
      <c r="I31" s="2" t="str">
        <f t="shared" si="0"/>
        <v/>
      </c>
      <c r="J31" s="3"/>
      <c r="K31" s="5" t="str">
        <f>IFERROR(Tabla347911[[#This Row],[USD]]/$B$1,"")</f>
        <v/>
      </c>
    </row>
    <row r="32" spans="1:11" ht="15.75" x14ac:dyDescent="0.25">
      <c r="D32" s="2">
        <v>31</v>
      </c>
      <c r="E32" s="6"/>
      <c r="F32" s="2"/>
      <c r="G32" s="2"/>
      <c r="H32" s="2"/>
      <c r="I32" s="2" t="str">
        <f t="shared" si="0"/>
        <v/>
      </c>
      <c r="J32" s="3"/>
      <c r="K32" s="5" t="str">
        <f>IFERROR(Tabla347911[[#This Row],[USD]]/$B$1,"")</f>
        <v/>
      </c>
    </row>
    <row r="33" spans="4:11" ht="15.75" x14ac:dyDescent="0.25">
      <c r="D33" s="2">
        <v>32</v>
      </c>
      <c r="E33" s="6"/>
      <c r="F33" s="2"/>
      <c r="G33" s="2"/>
      <c r="H33" s="2"/>
      <c r="I33" s="2" t="str">
        <f t="shared" si="0"/>
        <v/>
      </c>
      <c r="J33" s="3"/>
      <c r="K33" s="5" t="str">
        <f>IFERROR(Tabla347911[[#This Row],[USD]]/$B$1,"")</f>
        <v/>
      </c>
    </row>
    <row r="34" spans="4:11" ht="15.75" x14ac:dyDescent="0.25">
      <c r="D34" s="2">
        <v>33</v>
      </c>
      <c r="E34" s="6"/>
      <c r="F34" s="2"/>
      <c r="G34" s="2"/>
      <c r="H34" s="2"/>
      <c r="I34" s="2" t="str">
        <f t="shared" si="0"/>
        <v/>
      </c>
      <c r="J34" s="3"/>
      <c r="K34" s="5" t="str">
        <f>IFERROR(Tabla347911[[#This Row],[USD]]/$B$1,"")</f>
        <v/>
      </c>
    </row>
    <row r="35" spans="4:11" ht="15.75" x14ac:dyDescent="0.25">
      <c r="D35" s="2">
        <v>34</v>
      </c>
      <c r="E35" s="6"/>
      <c r="F35" s="2"/>
      <c r="G35" s="2"/>
      <c r="H35" s="2"/>
      <c r="I35" s="2" t="str">
        <f t="shared" si="0"/>
        <v/>
      </c>
      <c r="J35" s="3"/>
      <c r="K35" s="5" t="str">
        <f>IFERROR(Tabla347911[[#This Row],[USD]]/$B$1,"")</f>
        <v/>
      </c>
    </row>
    <row r="36" spans="4:11" ht="15.75" x14ac:dyDescent="0.25">
      <c r="D36" s="2">
        <v>35</v>
      </c>
      <c r="E36" s="6"/>
      <c r="F36" s="2"/>
      <c r="G36" s="2"/>
      <c r="H36" s="2"/>
      <c r="I36" s="2" t="str">
        <f t="shared" si="0"/>
        <v/>
      </c>
      <c r="J36" s="3"/>
      <c r="K36" s="5" t="str">
        <f>IFERROR(Tabla347911[[#This Row],[USD]]/$B$1,"")</f>
        <v/>
      </c>
    </row>
    <row r="37" spans="4:11" ht="15.75" x14ac:dyDescent="0.25">
      <c r="D37" s="2">
        <v>36</v>
      </c>
      <c r="E37" s="6"/>
      <c r="F37" s="2"/>
      <c r="G37" s="2"/>
      <c r="H37" s="2"/>
      <c r="I37" s="2" t="str">
        <f t="shared" si="0"/>
        <v/>
      </c>
      <c r="J37" s="3"/>
      <c r="K37" s="5" t="str">
        <f>IFERROR(Tabla347911[[#This Row],[USD]]/$B$1,"")</f>
        <v/>
      </c>
    </row>
    <row r="38" spans="4:11" ht="15.75" x14ac:dyDescent="0.25">
      <c r="D38" s="2">
        <v>37</v>
      </c>
      <c r="E38" s="6"/>
      <c r="F38" s="2"/>
      <c r="G38" s="2"/>
      <c r="H38" s="2"/>
      <c r="I38" s="2" t="str">
        <f t="shared" si="0"/>
        <v/>
      </c>
      <c r="J38" s="3"/>
      <c r="K38" s="5" t="str">
        <f>IFERROR(Tabla347911[[#This Row],[USD]]/$B$1,"")</f>
        <v/>
      </c>
    </row>
    <row r="39" spans="4:11" ht="15.75" x14ac:dyDescent="0.25">
      <c r="D39" s="2">
        <v>38</v>
      </c>
      <c r="E39" s="6"/>
      <c r="F39" s="2"/>
      <c r="G39" s="2"/>
      <c r="H39" s="2"/>
      <c r="I39" s="2" t="str">
        <f t="shared" si="0"/>
        <v/>
      </c>
      <c r="J39" s="3"/>
      <c r="K39" s="5" t="str">
        <f>IFERROR(Tabla347911[[#This Row],[USD]]/$B$1,"")</f>
        <v/>
      </c>
    </row>
    <row r="40" spans="4:11" ht="15.75" x14ac:dyDescent="0.25">
      <c r="D40" s="2">
        <v>39</v>
      </c>
      <c r="E40" s="6"/>
      <c r="F40" s="2"/>
      <c r="G40" s="2"/>
      <c r="H40" s="2"/>
      <c r="I40" s="2" t="str">
        <f t="shared" si="0"/>
        <v/>
      </c>
      <c r="J40" s="3"/>
      <c r="K40" s="5" t="str">
        <f>IFERROR(Tabla347911[[#This Row],[USD]]/$B$1,"")</f>
        <v/>
      </c>
    </row>
    <row r="41" spans="4:11" ht="15.75" x14ac:dyDescent="0.25">
      <c r="D41" s="2">
        <v>40</v>
      </c>
      <c r="E41" s="6"/>
      <c r="F41" s="2"/>
      <c r="G41" s="2"/>
      <c r="H41" s="2"/>
      <c r="I41" s="2" t="str">
        <f t="shared" si="0"/>
        <v/>
      </c>
      <c r="J41" s="3"/>
      <c r="K41" s="5" t="str">
        <f>IFERROR(Tabla347911[[#This Row],[USD]]/$B$1,"")</f>
        <v/>
      </c>
    </row>
    <row r="42" spans="4:11" ht="15.75" x14ac:dyDescent="0.25">
      <c r="D42" s="2">
        <v>41</v>
      </c>
      <c r="E42" s="6"/>
      <c r="F42" s="2"/>
      <c r="G42" s="2"/>
      <c r="H42" s="2"/>
      <c r="I42" s="2" t="str">
        <f t="shared" si="0"/>
        <v/>
      </c>
      <c r="J42" s="3"/>
      <c r="K42" s="5" t="str">
        <f>IFERROR(Tabla347911[[#This Row],[USD]]/$B$1,"")</f>
        <v/>
      </c>
    </row>
    <row r="43" spans="4:11" ht="15.75" x14ac:dyDescent="0.25">
      <c r="D43" s="2">
        <v>42</v>
      </c>
      <c r="E43" s="6"/>
      <c r="F43" s="2"/>
      <c r="G43" s="2"/>
      <c r="H43" s="2"/>
      <c r="I43" s="2" t="str">
        <f t="shared" si="0"/>
        <v/>
      </c>
      <c r="J43" s="3"/>
      <c r="K43" s="5" t="str">
        <f>IFERROR(Tabla347911[[#This Row],[USD]]/$B$1,"")</f>
        <v/>
      </c>
    </row>
    <row r="44" spans="4:11" ht="15.75" x14ac:dyDescent="0.25">
      <c r="D44" s="2">
        <v>43</v>
      </c>
      <c r="E44" s="6"/>
      <c r="F44" s="2"/>
      <c r="G44" s="2"/>
      <c r="H44" s="2"/>
      <c r="I44" s="2" t="str">
        <f t="shared" si="0"/>
        <v/>
      </c>
      <c r="J44" s="3"/>
      <c r="K44" s="5" t="str">
        <f>IFERROR(Tabla347911[[#This Row],[USD]]/$B$1,"")</f>
        <v/>
      </c>
    </row>
    <row r="45" spans="4:11" ht="15.75" x14ac:dyDescent="0.25">
      <c r="D45" s="2">
        <v>44</v>
      </c>
      <c r="E45" s="6"/>
      <c r="F45" s="2"/>
      <c r="G45" s="2"/>
      <c r="H45" s="2"/>
      <c r="I45" s="2" t="str">
        <f t="shared" si="0"/>
        <v/>
      </c>
      <c r="J45" s="3"/>
      <c r="K45" s="5" t="str">
        <f>IFERROR(Tabla347911[[#This Row],[USD]]/$B$1,"")</f>
        <v/>
      </c>
    </row>
    <row r="46" spans="4:11" ht="15.75" x14ac:dyDescent="0.25">
      <c r="D46" s="2">
        <v>45</v>
      </c>
      <c r="E46" s="6"/>
      <c r="F46" s="2"/>
      <c r="G46" s="2"/>
      <c r="H46" s="2"/>
      <c r="I46" s="2" t="str">
        <f t="shared" si="0"/>
        <v/>
      </c>
      <c r="J46" s="3"/>
      <c r="K46" s="5" t="str">
        <f>IFERROR(Tabla347911[[#This Row],[USD]]/$B$1,"")</f>
        <v/>
      </c>
    </row>
    <row r="47" spans="4:11" ht="15.75" x14ac:dyDescent="0.25">
      <c r="D47" s="2">
        <v>46</v>
      </c>
      <c r="E47" s="6"/>
      <c r="F47" s="2"/>
      <c r="G47" s="2"/>
      <c r="H47" s="2"/>
      <c r="I47" s="2" t="str">
        <f t="shared" si="0"/>
        <v/>
      </c>
      <c r="J47" s="3"/>
      <c r="K47" s="5" t="str">
        <f>IFERROR(Tabla347911[[#This Row],[USD]]/$B$1,"")</f>
        <v/>
      </c>
    </row>
    <row r="48" spans="4:11" ht="15.75" x14ac:dyDescent="0.25">
      <c r="D48" s="2">
        <v>47</v>
      </c>
      <c r="E48" s="6"/>
      <c r="F48" s="2"/>
      <c r="G48" s="2"/>
      <c r="H48" s="2"/>
      <c r="I48" s="2" t="str">
        <f t="shared" si="0"/>
        <v/>
      </c>
      <c r="J48" s="3"/>
      <c r="K48" s="5" t="str">
        <f>IFERROR(Tabla347911[[#This Row],[USD]]/$B$1,"")</f>
        <v/>
      </c>
    </row>
    <row r="49" spans="4:11" ht="15.75" x14ac:dyDescent="0.25">
      <c r="D49" s="2">
        <v>48</v>
      </c>
      <c r="E49" s="6"/>
      <c r="F49" s="2"/>
      <c r="G49" s="2"/>
      <c r="H49" s="2"/>
      <c r="I49" s="2" t="str">
        <f t="shared" si="0"/>
        <v/>
      </c>
      <c r="J49" s="3"/>
      <c r="K49" s="5" t="str">
        <f>IFERROR(Tabla347911[[#This Row],[USD]]/$B$1,"")</f>
        <v/>
      </c>
    </row>
    <row r="50" spans="4:11" ht="15.75" x14ac:dyDescent="0.25">
      <c r="D50" s="2">
        <v>49</v>
      </c>
      <c r="E50" s="6"/>
      <c r="F50" s="2"/>
      <c r="G50" s="2"/>
      <c r="H50" s="2"/>
      <c r="I50" s="2" t="str">
        <f t="shared" si="0"/>
        <v/>
      </c>
      <c r="J50" s="3"/>
      <c r="K50" s="5" t="str">
        <f>IFERROR(Tabla347911[[#This Row],[USD]]/$B$1,"")</f>
        <v/>
      </c>
    </row>
    <row r="51" spans="4:11" ht="15.75" x14ac:dyDescent="0.25">
      <c r="D51" s="2">
        <v>50</v>
      </c>
      <c r="E51" s="6"/>
      <c r="F51" s="2"/>
      <c r="G51" s="2"/>
      <c r="H51" s="2"/>
      <c r="I51" s="2" t="str">
        <f t="shared" si="0"/>
        <v/>
      </c>
      <c r="J51" s="3"/>
      <c r="K51" s="5" t="str">
        <f>IFERROR(Tabla347911[[#This Row],[USD]]/$B$1,"")</f>
        <v/>
      </c>
    </row>
    <row r="52" spans="4:11" ht="15.75" x14ac:dyDescent="0.25">
      <c r="D52" s="2">
        <v>51</v>
      </c>
      <c r="E52" s="6"/>
      <c r="F52" s="2"/>
      <c r="G52" s="2"/>
      <c r="H52" s="2"/>
      <c r="I52" s="2" t="str">
        <f t="shared" si="0"/>
        <v/>
      </c>
      <c r="J52" s="3"/>
      <c r="K52" s="5" t="str">
        <f>IFERROR(Tabla347911[[#This Row],[USD]]/$B$1,"")</f>
        <v/>
      </c>
    </row>
    <row r="53" spans="4:11" ht="15.75" x14ac:dyDescent="0.25">
      <c r="D53" s="2">
        <v>52</v>
      </c>
      <c r="E53" s="6"/>
      <c r="F53" s="2"/>
      <c r="G53" s="2"/>
      <c r="H53" s="2"/>
      <c r="I53" s="2" t="str">
        <f t="shared" si="0"/>
        <v/>
      </c>
      <c r="J53" s="3"/>
      <c r="K53" s="5" t="str">
        <f>IFERROR(Tabla347911[[#This Row],[USD]]/$B$1,"")</f>
        <v/>
      </c>
    </row>
    <row r="54" spans="4:11" ht="15.75" x14ac:dyDescent="0.25">
      <c r="D54" s="2">
        <v>53</v>
      </c>
      <c r="E54" s="6"/>
      <c r="F54" s="2"/>
      <c r="G54" s="2"/>
      <c r="H54" s="2"/>
      <c r="I54" s="2" t="str">
        <f t="shared" si="0"/>
        <v/>
      </c>
      <c r="J54" s="3"/>
      <c r="K54" s="5" t="str">
        <f>IFERROR(Tabla347911[[#This Row],[USD]]/$B$1,"")</f>
        <v/>
      </c>
    </row>
    <row r="55" spans="4:11" ht="15.75" x14ac:dyDescent="0.25">
      <c r="D55" s="2">
        <v>54</v>
      </c>
      <c r="E55" s="6"/>
      <c r="F55" s="2"/>
      <c r="G55" s="2"/>
      <c r="H55" s="2"/>
      <c r="I55" s="2" t="str">
        <f t="shared" si="0"/>
        <v/>
      </c>
      <c r="J55" s="3"/>
      <c r="K55" s="5" t="str">
        <f>IFERROR(Tabla347911[[#This Row],[USD]]/$B$1,"")</f>
        <v/>
      </c>
    </row>
    <row r="56" spans="4:11" ht="15.75" x14ac:dyDescent="0.25">
      <c r="D56" s="2">
        <v>55</v>
      </c>
      <c r="E56" s="6"/>
      <c r="F56" s="2"/>
      <c r="G56" s="2"/>
      <c r="H56" s="2"/>
      <c r="I56" s="2" t="str">
        <f t="shared" si="0"/>
        <v/>
      </c>
      <c r="J56" s="3"/>
      <c r="K56" s="5" t="str">
        <f>IFERROR(Tabla347911[[#This Row],[USD]]/$B$1,"")</f>
        <v/>
      </c>
    </row>
    <row r="57" spans="4:11" ht="15.75" x14ac:dyDescent="0.25">
      <c r="D57" s="2">
        <v>56</v>
      </c>
      <c r="E57" s="6"/>
      <c r="F57" s="2"/>
      <c r="G57" s="2"/>
      <c r="H57" s="2"/>
      <c r="I57" s="2" t="str">
        <f t="shared" si="0"/>
        <v/>
      </c>
      <c r="J57" s="3"/>
      <c r="K57" s="5" t="str">
        <f>IFERROR(Tabla347911[[#This Row],[USD]]/$B$1,"")</f>
        <v/>
      </c>
    </row>
    <row r="58" spans="4:11" ht="15.75" x14ac:dyDescent="0.25">
      <c r="D58" s="2">
        <v>57</v>
      </c>
      <c r="E58" s="6"/>
      <c r="F58" s="2"/>
      <c r="G58" s="2"/>
      <c r="H58" s="2"/>
      <c r="I58" s="2" t="str">
        <f t="shared" si="0"/>
        <v/>
      </c>
      <c r="J58" s="3"/>
      <c r="K58" s="5" t="str">
        <f>IFERROR(Tabla347911[[#This Row],[USD]]/$B$1,"")</f>
        <v/>
      </c>
    </row>
    <row r="59" spans="4:11" ht="15.75" x14ac:dyDescent="0.25">
      <c r="D59" s="2">
        <v>58</v>
      </c>
      <c r="E59" s="6"/>
      <c r="F59" s="2"/>
      <c r="G59" s="2"/>
      <c r="H59" s="2"/>
      <c r="I59" s="2" t="str">
        <f t="shared" si="0"/>
        <v/>
      </c>
      <c r="J59" s="3"/>
      <c r="K59" s="5" t="str">
        <f>IFERROR(Tabla347911[[#This Row],[USD]]/$B$1,"")</f>
        <v/>
      </c>
    </row>
    <row r="60" spans="4:11" ht="15.75" x14ac:dyDescent="0.25">
      <c r="D60" s="2">
        <v>59</v>
      </c>
      <c r="E60" s="6"/>
      <c r="F60" s="2"/>
      <c r="G60" s="2"/>
      <c r="H60" s="2"/>
      <c r="I60" s="2" t="str">
        <f t="shared" si="0"/>
        <v/>
      </c>
      <c r="J60" s="3"/>
      <c r="K60" s="5" t="str">
        <f>IFERROR(Tabla347911[[#This Row],[USD]]/$B$1,"")</f>
        <v/>
      </c>
    </row>
    <row r="61" spans="4:11" ht="15.75" x14ac:dyDescent="0.25">
      <c r="D61" s="2">
        <v>60</v>
      </c>
      <c r="E61" s="6"/>
      <c r="F61" s="2"/>
      <c r="G61" s="2"/>
      <c r="H61" s="2"/>
      <c r="I61" s="2" t="str">
        <f t="shared" si="0"/>
        <v/>
      </c>
      <c r="J61" s="3"/>
      <c r="K61" s="5" t="str">
        <f>IFERROR(Tabla347911[[#This Row],[USD]]/$B$1,"")</f>
        <v/>
      </c>
    </row>
    <row r="62" spans="4:11" ht="15.75" x14ac:dyDescent="0.25">
      <c r="D62" s="2">
        <v>61</v>
      </c>
      <c r="E62" s="6"/>
      <c r="F62" s="2"/>
      <c r="G62" s="2"/>
      <c r="H62" s="2"/>
      <c r="I62" s="2" t="str">
        <f t="shared" si="0"/>
        <v/>
      </c>
      <c r="J62" s="3"/>
      <c r="K62" s="5" t="str">
        <f>IFERROR(Tabla347911[[#This Row],[USD]]/$B$1,"")</f>
        <v/>
      </c>
    </row>
    <row r="63" spans="4:11" ht="15.75" x14ac:dyDescent="0.25">
      <c r="D63" s="2">
        <v>62</v>
      </c>
      <c r="E63" s="6"/>
      <c r="F63" s="2"/>
      <c r="G63" s="2"/>
      <c r="H63" s="2"/>
      <c r="I63" s="2" t="str">
        <f t="shared" si="0"/>
        <v/>
      </c>
      <c r="J63" s="3"/>
      <c r="K63" s="5" t="str">
        <f>IFERROR(Tabla347911[[#This Row],[USD]]/$B$1,"")</f>
        <v/>
      </c>
    </row>
    <row r="64" spans="4:11" ht="15.75" x14ac:dyDescent="0.25">
      <c r="D64" s="2">
        <v>63</v>
      </c>
      <c r="E64" s="6"/>
      <c r="F64" s="2"/>
      <c r="G64" s="2"/>
      <c r="H64" s="2"/>
      <c r="I64" s="2" t="str">
        <f t="shared" si="0"/>
        <v/>
      </c>
      <c r="J64" s="3"/>
      <c r="K64" s="5" t="str">
        <f>IFERROR(Tabla347911[[#This Row],[USD]]/$B$1,"")</f>
        <v/>
      </c>
    </row>
    <row r="65" spans="4:11" ht="15.75" x14ac:dyDescent="0.25">
      <c r="D65" s="2">
        <v>64</v>
      </c>
      <c r="E65" s="6"/>
      <c r="F65" s="2"/>
      <c r="G65" s="2"/>
      <c r="H65" s="2"/>
      <c r="I65" s="2" t="str">
        <f t="shared" si="0"/>
        <v/>
      </c>
      <c r="J65" s="3"/>
      <c r="K65" s="5" t="str">
        <f>IFERROR(Tabla347911[[#This Row],[USD]]/$B$1,"")</f>
        <v/>
      </c>
    </row>
    <row r="66" spans="4:11" ht="15.75" x14ac:dyDescent="0.25">
      <c r="D66" s="2">
        <v>65</v>
      </c>
      <c r="E66" s="6"/>
      <c r="F66" s="2"/>
      <c r="G66" s="2"/>
      <c r="H66" s="2"/>
      <c r="I66" s="2" t="str">
        <f t="shared" si="0"/>
        <v/>
      </c>
      <c r="J66" s="3"/>
      <c r="K66" s="5" t="str">
        <f>IFERROR(Tabla347911[[#This Row],[USD]]/$B$1,"")</f>
        <v/>
      </c>
    </row>
    <row r="67" spans="4:11" ht="15.75" x14ac:dyDescent="0.25">
      <c r="D67" s="2">
        <v>66</v>
      </c>
      <c r="E67" s="6"/>
      <c r="F67" s="2"/>
      <c r="G67" s="2"/>
      <c r="H67" s="2"/>
      <c r="I67" s="2" t="str">
        <f t="shared" ref="I67:I130" si="1">IF(J67="","",IF(J67&gt;3,"Ganado",IF(J67&lt;-3,"Perdido","Break Even")))</f>
        <v/>
      </c>
      <c r="J67" s="3"/>
      <c r="K67" s="5" t="str">
        <f>IFERROR(Tabla347911[[#This Row],[USD]]/$B$1,"")</f>
        <v/>
      </c>
    </row>
    <row r="68" spans="4:11" ht="15.75" x14ac:dyDescent="0.25">
      <c r="D68" s="2">
        <v>67</v>
      </c>
      <c r="E68" s="6"/>
      <c r="F68" s="2"/>
      <c r="G68" s="2"/>
      <c r="H68" s="2"/>
      <c r="I68" s="2" t="str">
        <f t="shared" si="1"/>
        <v/>
      </c>
      <c r="J68" s="3"/>
      <c r="K68" s="5" t="str">
        <f>IFERROR(Tabla347911[[#This Row],[USD]]/$B$1,"")</f>
        <v/>
      </c>
    </row>
    <row r="69" spans="4:11" ht="15.75" x14ac:dyDescent="0.25">
      <c r="D69" s="2">
        <v>68</v>
      </c>
      <c r="E69" s="6"/>
      <c r="F69" s="2"/>
      <c r="G69" s="2"/>
      <c r="H69" s="2"/>
      <c r="I69" s="2" t="str">
        <f t="shared" si="1"/>
        <v/>
      </c>
      <c r="J69" s="3"/>
      <c r="K69" s="5" t="str">
        <f>IFERROR(Tabla347911[[#This Row],[USD]]/$B$1,"")</f>
        <v/>
      </c>
    </row>
    <row r="70" spans="4:11" ht="15.75" x14ac:dyDescent="0.25">
      <c r="D70" s="2">
        <v>69</v>
      </c>
      <c r="E70" s="6"/>
      <c r="F70" s="2"/>
      <c r="G70" s="2"/>
      <c r="H70" s="2"/>
      <c r="I70" s="2" t="str">
        <f t="shared" si="1"/>
        <v/>
      </c>
      <c r="J70" s="3"/>
      <c r="K70" s="5" t="str">
        <f>IFERROR(Tabla347911[[#This Row],[USD]]/$B$1,"")</f>
        <v/>
      </c>
    </row>
    <row r="71" spans="4:11" ht="15.75" x14ac:dyDescent="0.25">
      <c r="D71" s="2">
        <v>70</v>
      </c>
      <c r="E71" s="6"/>
      <c r="F71" s="2"/>
      <c r="G71" s="2"/>
      <c r="H71" s="2"/>
      <c r="I71" s="2" t="str">
        <f t="shared" si="1"/>
        <v/>
      </c>
      <c r="J71" s="3"/>
      <c r="K71" s="5" t="str">
        <f>IFERROR(Tabla347911[[#This Row],[USD]]/$B$1,"")</f>
        <v/>
      </c>
    </row>
    <row r="72" spans="4:11" ht="15.75" x14ac:dyDescent="0.25">
      <c r="D72" s="2">
        <v>71</v>
      </c>
      <c r="E72" s="6"/>
      <c r="F72" s="2"/>
      <c r="G72" s="2"/>
      <c r="H72" s="2"/>
      <c r="I72" s="2" t="str">
        <f t="shared" si="1"/>
        <v/>
      </c>
      <c r="J72" s="3"/>
      <c r="K72" s="5" t="str">
        <f>IFERROR(Tabla347911[[#This Row],[USD]]/$B$1,"")</f>
        <v/>
      </c>
    </row>
    <row r="73" spans="4:11" ht="15.75" x14ac:dyDescent="0.25">
      <c r="D73" s="2">
        <v>72</v>
      </c>
      <c r="E73" s="6"/>
      <c r="F73" s="2"/>
      <c r="G73" s="2"/>
      <c r="H73" s="2"/>
      <c r="I73" s="2" t="str">
        <f t="shared" si="1"/>
        <v/>
      </c>
      <c r="J73" s="3"/>
      <c r="K73" s="5" t="str">
        <f>IFERROR(Tabla347911[[#This Row],[USD]]/$B$1,"")</f>
        <v/>
      </c>
    </row>
    <row r="74" spans="4:11" ht="15.75" x14ac:dyDescent="0.25">
      <c r="D74" s="2">
        <v>73</v>
      </c>
      <c r="E74" s="6"/>
      <c r="F74" s="2"/>
      <c r="G74" s="2"/>
      <c r="H74" s="2"/>
      <c r="I74" s="2" t="str">
        <f t="shared" si="1"/>
        <v/>
      </c>
      <c r="J74" s="3"/>
      <c r="K74" s="5" t="str">
        <f>IFERROR(Tabla347911[[#This Row],[USD]]/$B$1,"")</f>
        <v/>
      </c>
    </row>
    <row r="75" spans="4:11" ht="15.75" x14ac:dyDescent="0.25">
      <c r="D75" s="2">
        <v>74</v>
      </c>
      <c r="E75" s="6"/>
      <c r="F75" s="2"/>
      <c r="G75" s="2"/>
      <c r="H75" s="2"/>
      <c r="I75" s="2" t="str">
        <f t="shared" si="1"/>
        <v/>
      </c>
      <c r="J75" s="3"/>
      <c r="K75" s="5" t="str">
        <f>IFERROR(Tabla347911[[#This Row],[USD]]/$B$1,"")</f>
        <v/>
      </c>
    </row>
    <row r="76" spans="4:11" ht="15.75" x14ac:dyDescent="0.25">
      <c r="D76" s="2">
        <v>75</v>
      </c>
      <c r="E76" s="6"/>
      <c r="F76" s="2"/>
      <c r="G76" s="2"/>
      <c r="H76" s="2"/>
      <c r="I76" s="2" t="str">
        <f t="shared" si="1"/>
        <v/>
      </c>
      <c r="J76" s="3"/>
      <c r="K76" s="5" t="str">
        <f>IFERROR(Tabla347911[[#This Row],[USD]]/$B$1,"")</f>
        <v/>
      </c>
    </row>
    <row r="77" spans="4:11" ht="15.75" x14ac:dyDescent="0.25">
      <c r="D77" s="2">
        <v>76</v>
      </c>
      <c r="E77" s="6"/>
      <c r="F77" s="2"/>
      <c r="G77" s="2"/>
      <c r="H77" s="2"/>
      <c r="I77" s="2" t="str">
        <f t="shared" si="1"/>
        <v/>
      </c>
      <c r="J77" s="3"/>
      <c r="K77" s="5" t="str">
        <f>IFERROR(Tabla347911[[#This Row],[USD]]/$B$1,"")</f>
        <v/>
      </c>
    </row>
    <row r="78" spans="4:11" ht="15.75" x14ac:dyDescent="0.25">
      <c r="D78" s="2">
        <v>77</v>
      </c>
      <c r="E78" s="6"/>
      <c r="F78" s="2"/>
      <c r="G78" s="2"/>
      <c r="H78" s="2"/>
      <c r="I78" s="2" t="str">
        <f t="shared" si="1"/>
        <v/>
      </c>
      <c r="J78" s="3"/>
      <c r="K78" s="5" t="str">
        <f>IFERROR(Tabla347911[[#This Row],[USD]]/$B$1,"")</f>
        <v/>
      </c>
    </row>
    <row r="79" spans="4:11" ht="15.75" x14ac:dyDescent="0.25">
      <c r="D79" s="2">
        <v>78</v>
      </c>
      <c r="E79" s="6"/>
      <c r="F79" s="2"/>
      <c r="G79" s="2"/>
      <c r="H79" s="2"/>
      <c r="I79" s="2" t="str">
        <f t="shared" si="1"/>
        <v/>
      </c>
      <c r="J79" s="3"/>
      <c r="K79" s="5" t="str">
        <f>IFERROR(Tabla347911[[#This Row],[USD]]/$B$1,"")</f>
        <v/>
      </c>
    </row>
    <row r="80" spans="4:11" ht="15.75" x14ac:dyDescent="0.25">
      <c r="D80" s="2">
        <v>79</v>
      </c>
      <c r="E80" s="6"/>
      <c r="F80" s="2"/>
      <c r="G80" s="2"/>
      <c r="H80" s="2"/>
      <c r="I80" s="2" t="str">
        <f t="shared" si="1"/>
        <v/>
      </c>
      <c r="J80" s="3"/>
      <c r="K80" s="5" t="str">
        <f>IFERROR(Tabla347911[[#This Row],[USD]]/$B$1,"")</f>
        <v/>
      </c>
    </row>
    <row r="81" spans="4:11" ht="15.75" x14ac:dyDescent="0.25">
      <c r="D81" s="2">
        <v>80</v>
      </c>
      <c r="E81" s="6"/>
      <c r="F81" s="2"/>
      <c r="G81" s="2"/>
      <c r="H81" s="2"/>
      <c r="I81" s="2" t="str">
        <f t="shared" si="1"/>
        <v/>
      </c>
      <c r="J81" s="3"/>
      <c r="K81" s="5" t="str">
        <f>IFERROR(Tabla347911[[#This Row],[USD]]/$B$1,"")</f>
        <v/>
      </c>
    </row>
    <row r="82" spans="4:11" ht="15.75" x14ac:dyDescent="0.25">
      <c r="D82" s="2">
        <v>81</v>
      </c>
      <c r="E82" s="6"/>
      <c r="F82" s="2"/>
      <c r="G82" s="2"/>
      <c r="H82" s="2"/>
      <c r="I82" s="2" t="str">
        <f t="shared" si="1"/>
        <v/>
      </c>
      <c r="J82" s="3"/>
      <c r="K82" s="5" t="str">
        <f>IFERROR(Tabla347911[[#This Row],[USD]]/$B$1,"")</f>
        <v/>
      </c>
    </row>
    <row r="83" spans="4:11" ht="15.75" x14ac:dyDescent="0.25">
      <c r="D83" s="2">
        <v>82</v>
      </c>
      <c r="E83" s="6"/>
      <c r="F83" s="2"/>
      <c r="G83" s="2"/>
      <c r="H83" s="2"/>
      <c r="I83" s="2" t="str">
        <f t="shared" si="1"/>
        <v/>
      </c>
      <c r="J83" s="3"/>
      <c r="K83" s="5" t="str">
        <f>IFERROR(Tabla347911[[#This Row],[USD]]/$B$1,"")</f>
        <v/>
      </c>
    </row>
    <row r="84" spans="4:11" ht="15.75" x14ac:dyDescent="0.25">
      <c r="D84" s="2">
        <v>83</v>
      </c>
      <c r="E84" s="6"/>
      <c r="F84" s="2"/>
      <c r="G84" s="2"/>
      <c r="H84" s="2"/>
      <c r="I84" s="2" t="str">
        <f t="shared" si="1"/>
        <v/>
      </c>
      <c r="J84" s="3"/>
      <c r="K84" s="5" t="str">
        <f>IFERROR(Tabla347911[[#This Row],[USD]]/$B$1,"")</f>
        <v/>
      </c>
    </row>
    <row r="85" spans="4:11" ht="15.75" x14ac:dyDescent="0.25">
      <c r="D85" s="2">
        <v>84</v>
      </c>
      <c r="E85" s="6"/>
      <c r="F85" s="2"/>
      <c r="G85" s="2"/>
      <c r="H85" s="2"/>
      <c r="I85" s="2" t="str">
        <f t="shared" si="1"/>
        <v/>
      </c>
      <c r="J85" s="3"/>
      <c r="K85" s="5" t="str">
        <f>IFERROR(Tabla347911[[#This Row],[USD]]/$B$1,"")</f>
        <v/>
      </c>
    </row>
    <row r="86" spans="4:11" ht="15.75" x14ac:dyDescent="0.25">
      <c r="D86" s="2">
        <v>85</v>
      </c>
      <c r="E86" s="6"/>
      <c r="F86" s="2"/>
      <c r="G86" s="2"/>
      <c r="H86" s="2"/>
      <c r="I86" s="2" t="str">
        <f t="shared" si="1"/>
        <v/>
      </c>
      <c r="J86" s="3"/>
      <c r="K86" s="5" t="str">
        <f>IFERROR(Tabla347911[[#This Row],[USD]]/$B$1,"")</f>
        <v/>
      </c>
    </row>
    <row r="87" spans="4:11" ht="15.75" x14ac:dyDescent="0.25">
      <c r="D87" s="2">
        <v>86</v>
      </c>
      <c r="E87" s="6"/>
      <c r="F87" s="2"/>
      <c r="G87" s="2"/>
      <c r="H87" s="2"/>
      <c r="I87" s="2" t="str">
        <f t="shared" si="1"/>
        <v/>
      </c>
      <c r="J87" s="3"/>
      <c r="K87" s="5" t="str">
        <f>IFERROR(Tabla347911[[#This Row],[USD]]/$B$1,"")</f>
        <v/>
      </c>
    </row>
    <row r="88" spans="4:11" ht="15.75" x14ac:dyDescent="0.25">
      <c r="D88" s="2">
        <v>87</v>
      </c>
      <c r="E88" s="6"/>
      <c r="F88" s="2"/>
      <c r="G88" s="2"/>
      <c r="H88" s="2"/>
      <c r="I88" s="2" t="str">
        <f t="shared" si="1"/>
        <v/>
      </c>
      <c r="J88" s="3"/>
      <c r="K88" s="5" t="str">
        <f>IFERROR(Tabla347911[[#This Row],[USD]]/$B$1,"")</f>
        <v/>
      </c>
    </row>
    <row r="89" spans="4:11" ht="15.75" x14ac:dyDescent="0.25">
      <c r="D89" s="2">
        <v>88</v>
      </c>
      <c r="E89" s="6"/>
      <c r="F89" s="2"/>
      <c r="G89" s="2"/>
      <c r="H89" s="2"/>
      <c r="I89" s="2" t="str">
        <f t="shared" si="1"/>
        <v/>
      </c>
      <c r="J89" s="3"/>
      <c r="K89" s="5" t="str">
        <f>IFERROR(Tabla347911[[#This Row],[USD]]/$B$1,"")</f>
        <v/>
      </c>
    </row>
    <row r="90" spans="4:11" ht="15.75" x14ac:dyDescent="0.25">
      <c r="D90" s="2">
        <v>89</v>
      </c>
      <c r="E90" s="6"/>
      <c r="F90" s="2"/>
      <c r="G90" s="2"/>
      <c r="H90" s="2"/>
      <c r="I90" s="2" t="str">
        <f t="shared" si="1"/>
        <v/>
      </c>
      <c r="J90" s="3"/>
      <c r="K90" s="5" t="str">
        <f>IFERROR(Tabla347911[[#This Row],[USD]]/$B$1,"")</f>
        <v/>
      </c>
    </row>
    <row r="91" spans="4:11" ht="15.75" x14ac:dyDescent="0.25">
      <c r="D91" s="2">
        <v>90</v>
      </c>
      <c r="E91" s="6"/>
      <c r="F91" s="2"/>
      <c r="G91" s="2"/>
      <c r="H91" s="2"/>
      <c r="I91" s="2" t="str">
        <f t="shared" si="1"/>
        <v/>
      </c>
      <c r="J91" s="3"/>
      <c r="K91" s="5" t="str">
        <f>IFERROR(Tabla347911[[#This Row],[USD]]/$B$1,"")</f>
        <v/>
      </c>
    </row>
    <row r="92" spans="4:11" ht="15.75" x14ac:dyDescent="0.25">
      <c r="D92" s="2">
        <v>91</v>
      </c>
      <c r="E92" s="6"/>
      <c r="F92" s="2"/>
      <c r="G92" s="2"/>
      <c r="H92" s="2"/>
      <c r="I92" s="2" t="str">
        <f t="shared" si="1"/>
        <v/>
      </c>
      <c r="J92" s="3"/>
      <c r="K92" s="5" t="str">
        <f>IFERROR(Tabla347911[[#This Row],[USD]]/$B$1,"")</f>
        <v/>
      </c>
    </row>
    <row r="93" spans="4:11" ht="15.75" x14ac:dyDescent="0.25">
      <c r="D93" s="2">
        <v>92</v>
      </c>
      <c r="E93" s="6"/>
      <c r="F93" s="2"/>
      <c r="G93" s="2"/>
      <c r="H93" s="2"/>
      <c r="I93" s="2" t="str">
        <f t="shared" si="1"/>
        <v/>
      </c>
      <c r="J93" s="3"/>
      <c r="K93" s="5" t="str">
        <f>IFERROR(Tabla347911[[#This Row],[USD]]/$B$1,"")</f>
        <v/>
      </c>
    </row>
    <row r="94" spans="4:11" ht="15.75" x14ac:dyDescent="0.25">
      <c r="D94" s="2">
        <v>93</v>
      </c>
      <c r="E94" s="6"/>
      <c r="F94" s="2"/>
      <c r="G94" s="2"/>
      <c r="H94" s="2"/>
      <c r="I94" s="2" t="str">
        <f t="shared" si="1"/>
        <v/>
      </c>
      <c r="J94" s="3"/>
      <c r="K94" s="5" t="str">
        <f>IFERROR(Tabla347911[[#This Row],[USD]]/$B$1,"")</f>
        <v/>
      </c>
    </row>
    <row r="95" spans="4:11" ht="15.75" x14ac:dyDescent="0.25">
      <c r="D95" s="2">
        <v>94</v>
      </c>
      <c r="E95" s="6"/>
      <c r="F95" s="2"/>
      <c r="G95" s="2"/>
      <c r="H95" s="2"/>
      <c r="I95" s="2" t="str">
        <f t="shared" si="1"/>
        <v/>
      </c>
      <c r="J95" s="3"/>
      <c r="K95" s="5" t="str">
        <f>IFERROR(Tabla347911[[#This Row],[USD]]/$B$1,"")</f>
        <v/>
      </c>
    </row>
    <row r="96" spans="4:11" ht="15.75" x14ac:dyDescent="0.25">
      <c r="D96" s="2">
        <v>95</v>
      </c>
      <c r="E96" s="6"/>
      <c r="F96" s="2"/>
      <c r="G96" s="2"/>
      <c r="H96" s="2"/>
      <c r="I96" s="2" t="str">
        <f t="shared" si="1"/>
        <v/>
      </c>
      <c r="J96" s="3"/>
      <c r="K96" s="5" t="str">
        <f>IFERROR(Tabla347911[[#This Row],[USD]]/$B$1,"")</f>
        <v/>
      </c>
    </row>
    <row r="97" spans="4:11" ht="15.75" x14ac:dyDescent="0.25">
      <c r="D97" s="2">
        <v>96</v>
      </c>
      <c r="E97" s="6"/>
      <c r="F97" s="2"/>
      <c r="G97" s="2"/>
      <c r="H97" s="2"/>
      <c r="I97" s="2" t="str">
        <f t="shared" si="1"/>
        <v/>
      </c>
      <c r="J97" s="3"/>
      <c r="K97" s="5" t="str">
        <f>IFERROR(Tabla347911[[#This Row],[USD]]/$B$1,"")</f>
        <v/>
      </c>
    </row>
    <row r="98" spans="4:11" ht="15.75" x14ac:dyDescent="0.25">
      <c r="D98" s="2">
        <v>97</v>
      </c>
      <c r="E98" s="6"/>
      <c r="F98" s="2"/>
      <c r="G98" s="2"/>
      <c r="H98" s="2"/>
      <c r="I98" s="2" t="str">
        <f t="shared" si="1"/>
        <v/>
      </c>
      <c r="J98" s="3"/>
      <c r="K98" s="5" t="str">
        <f>IFERROR(Tabla347911[[#This Row],[USD]]/$B$1,"")</f>
        <v/>
      </c>
    </row>
    <row r="99" spans="4:11" ht="15.75" x14ac:dyDescent="0.25">
      <c r="D99" s="2">
        <v>98</v>
      </c>
      <c r="E99" s="6"/>
      <c r="F99" s="2"/>
      <c r="G99" s="2"/>
      <c r="H99" s="2"/>
      <c r="I99" s="2" t="str">
        <f t="shared" si="1"/>
        <v/>
      </c>
      <c r="J99" s="3"/>
      <c r="K99" s="5" t="str">
        <f>IFERROR(Tabla347911[[#This Row],[USD]]/$B$1,"")</f>
        <v/>
      </c>
    </row>
    <row r="100" spans="4:11" ht="15.75" x14ac:dyDescent="0.25">
      <c r="D100" s="2">
        <v>99</v>
      </c>
      <c r="E100" s="6"/>
      <c r="F100" s="2"/>
      <c r="G100" s="2"/>
      <c r="H100" s="2"/>
      <c r="I100" s="2" t="str">
        <f t="shared" si="1"/>
        <v/>
      </c>
      <c r="J100" s="3"/>
      <c r="K100" s="5" t="str">
        <f>IFERROR(Tabla347911[[#This Row],[USD]]/$B$1,"")</f>
        <v/>
      </c>
    </row>
    <row r="101" spans="4:11" ht="15.75" x14ac:dyDescent="0.25">
      <c r="D101" s="2">
        <v>100</v>
      </c>
      <c r="E101" s="6"/>
      <c r="F101" s="2"/>
      <c r="G101" s="2"/>
      <c r="H101" s="2"/>
      <c r="I101" s="2" t="str">
        <f t="shared" si="1"/>
        <v/>
      </c>
      <c r="J101" s="3"/>
      <c r="K101" s="5" t="str">
        <f>IFERROR(Tabla347911[[#This Row],[USD]]/$B$1,"")</f>
        <v/>
      </c>
    </row>
    <row r="102" spans="4:11" ht="15.75" x14ac:dyDescent="0.25">
      <c r="D102" s="2">
        <v>101</v>
      </c>
      <c r="E102" s="6"/>
      <c r="F102" s="2"/>
      <c r="G102" s="2"/>
      <c r="H102" s="2"/>
      <c r="I102" s="2" t="str">
        <f t="shared" si="1"/>
        <v/>
      </c>
      <c r="J102" s="3"/>
      <c r="K102" s="5" t="str">
        <f>IFERROR(Tabla347911[[#This Row],[USD]]/$B$1,"")</f>
        <v/>
      </c>
    </row>
    <row r="103" spans="4:11" ht="15.75" x14ac:dyDescent="0.25">
      <c r="D103" s="2">
        <v>102</v>
      </c>
      <c r="E103" s="6"/>
      <c r="F103" s="2"/>
      <c r="G103" s="2"/>
      <c r="H103" s="2"/>
      <c r="I103" s="2" t="str">
        <f t="shared" si="1"/>
        <v/>
      </c>
      <c r="J103" s="3"/>
      <c r="K103" s="5" t="str">
        <f>IFERROR(Tabla347911[[#This Row],[USD]]/$B$1,"")</f>
        <v/>
      </c>
    </row>
    <row r="104" spans="4:11" ht="15.75" x14ac:dyDescent="0.25">
      <c r="D104" s="2">
        <v>103</v>
      </c>
      <c r="E104" s="6"/>
      <c r="F104" s="2"/>
      <c r="G104" s="2"/>
      <c r="H104" s="2"/>
      <c r="I104" s="2" t="str">
        <f t="shared" si="1"/>
        <v/>
      </c>
      <c r="J104" s="3"/>
      <c r="K104" s="5" t="str">
        <f>IFERROR(Tabla347911[[#This Row],[USD]]/$B$1,"")</f>
        <v/>
      </c>
    </row>
    <row r="105" spans="4:11" ht="15.75" x14ac:dyDescent="0.25">
      <c r="D105" s="2">
        <v>104</v>
      </c>
      <c r="E105" s="6"/>
      <c r="F105" s="2"/>
      <c r="G105" s="2"/>
      <c r="H105" s="2"/>
      <c r="I105" s="2" t="str">
        <f t="shared" si="1"/>
        <v/>
      </c>
      <c r="J105" s="3"/>
      <c r="K105" s="5" t="str">
        <f>IFERROR(Tabla347911[[#This Row],[USD]]/$B$1,"")</f>
        <v/>
      </c>
    </row>
    <row r="106" spans="4:11" ht="15.75" x14ac:dyDescent="0.25">
      <c r="D106" s="2">
        <v>105</v>
      </c>
      <c r="E106" s="6"/>
      <c r="F106" s="2"/>
      <c r="G106" s="2"/>
      <c r="H106" s="2"/>
      <c r="I106" s="2" t="str">
        <f t="shared" si="1"/>
        <v/>
      </c>
      <c r="J106" s="3"/>
      <c r="K106" s="5" t="str">
        <f>IFERROR(Tabla347911[[#This Row],[USD]]/$B$1,"")</f>
        <v/>
      </c>
    </row>
    <row r="107" spans="4:11" ht="15.75" x14ac:dyDescent="0.25">
      <c r="D107" s="2">
        <v>106</v>
      </c>
      <c r="E107" s="6"/>
      <c r="F107" s="2"/>
      <c r="G107" s="2"/>
      <c r="H107" s="2"/>
      <c r="I107" s="2" t="str">
        <f t="shared" si="1"/>
        <v/>
      </c>
      <c r="J107" s="3"/>
      <c r="K107" s="5" t="str">
        <f>IFERROR(Tabla347911[[#This Row],[USD]]/$B$1,"")</f>
        <v/>
      </c>
    </row>
    <row r="108" spans="4:11" ht="15.75" x14ac:dyDescent="0.25">
      <c r="D108" s="2">
        <v>107</v>
      </c>
      <c r="E108" s="6"/>
      <c r="F108" s="2"/>
      <c r="G108" s="2"/>
      <c r="H108" s="2"/>
      <c r="I108" s="2" t="str">
        <f t="shared" si="1"/>
        <v/>
      </c>
      <c r="J108" s="3"/>
      <c r="K108" s="5" t="str">
        <f>IFERROR(Tabla347911[[#This Row],[USD]]/$B$1,"")</f>
        <v/>
      </c>
    </row>
    <row r="109" spans="4:11" ht="15.75" x14ac:dyDescent="0.25">
      <c r="D109" s="2">
        <v>108</v>
      </c>
      <c r="E109" s="6"/>
      <c r="F109" s="2"/>
      <c r="G109" s="2"/>
      <c r="H109" s="2"/>
      <c r="I109" s="2" t="str">
        <f t="shared" si="1"/>
        <v/>
      </c>
      <c r="J109" s="3"/>
      <c r="K109" s="5" t="str">
        <f>IFERROR(Tabla347911[[#This Row],[USD]]/$B$1,"")</f>
        <v/>
      </c>
    </row>
    <row r="110" spans="4:11" ht="15.75" x14ac:dyDescent="0.25">
      <c r="D110" s="2">
        <v>109</v>
      </c>
      <c r="E110" s="6"/>
      <c r="F110" s="2"/>
      <c r="G110" s="2"/>
      <c r="H110" s="2"/>
      <c r="I110" s="2" t="str">
        <f t="shared" si="1"/>
        <v/>
      </c>
      <c r="J110" s="3"/>
      <c r="K110" s="5" t="str">
        <f>IFERROR(Tabla347911[[#This Row],[USD]]/$B$1,"")</f>
        <v/>
      </c>
    </row>
    <row r="111" spans="4:11" ht="15.75" x14ac:dyDescent="0.25">
      <c r="D111" s="2">
        <v>110</v>
      </c>
      <c r="E111" s="6"/>
      <c r="F111" s="2"/>
      <c r="G111" s="2"/>
      <c r="H111" s="2"/>
      <c r="I111" s="2" t="str">
        <f t="shared" si="1"/>
        <v/>
      </c>
      <c r="J111" s="3"/>
      <c r="K111" s="5" t="str">
        <f>IFERROR(Tabla347911[[#This Row],[USD]]/$B$1,"")</f>
        <v/>
      </c>
    </row>
    <row r="112" spans="4:11" ht="15.75" x14ac:dyDescent="0.25">
      <c r="D112" s="2">
        <v>111</v>
      </c>
      <c r="E112" s="6"/>
      <c r="F112" s="2"/>
      <c r="G112" s="2"/>
      <c r="H112" s="2"/>
      <c r="I112" s="2" t="str">
        <f t="shared" si="1"/>
        <v/>
      </c>
      <c r="J112" s="3"/>
      <c r="K112" s="5" t="str">
        <f>IFERROR(Tabla347911[[#This Row],[USD]]/$B$1,"")</f>
        <v/>
      </c>
    </row>
    <row r="113" spans="4:11" ht="15.75" x14ac:dyDescent="0.25">
      <c r="D113" s="2">
        <v>112</v>
      </c>
      <c r="E113" s="6"/>
      <c r="F113" s="2"/>
      <c r="G113" s="2"/>
      <c r="H113" s="2"/>
      <c r="I113" s="2" t="str">
        <f t="shared" si="1"/>
        <v/>
      </c>
      <c r="J113" s="3"/>
      <c r="K113" s="5" t="str">
        <f>IFERROR(Tabla347911[[#This Row],[USD]]/$B$1,"")</f>
        <v/>
      </c>
    </row>
    <row r="114" spans="4:11" ht="15.75" x14ac:dyDescent="0.25">
      <c r="D114" s="2">
        <v>113</v>
      </c>
      <c r="E114" s="6"/>
      <c r="F114" s="2"/>
      <c r="G114" s="2"/>
      <c r="H114" s="2"/>
      <c r="I114" s="2" t="str">
        <f t="shared" si="1"/>
        <v/>
      </c>
      <c r="J114" s="3"/>
      <c r="K114" s="5" t="str">
        <f>IFERROR(Tabla347911[[#This Row],[USD]]/$B$1,"")</f>
        <v/>
      </c>
    </row>
    <row r="115" spans="4:11" ht="15.75" x14ac:dyDescent="0.25">
      <c r="D115" s="2">
        <v>114</v>
      </c>
      <c r="E115" s="6"/>
      <c r="F115" s="2"/>
      <c r="G115" s="2"/>
      <c r="H115" s="2"/>
      <c r="I115" s="2" t="str">
        <f t="shared" si="1"/>
        <v/>
      </c>
      <c r="J115" s="3"/>
      <c r="K115" s="5" t="str">
        <f>IFERROR(Tabla347911[[#This Row],[USD]]/$B$1,"")</f>
        <v/>
      </c>
    </row>
    <row r="116" spans="4:11" ht="15.75" x14ac:dyDescent="0.25">
      <c r="D116" s="2">
        <v>115</v>
      </c>
      <c r="E116" s="6"/>
      <c r="F116" s="2"/>
      <c r="G116" s="2"/>
      <c r="H116" s="2"/>
      <c r="I116" s="2" t="str">
        <f t="shared" si="1"/>
        <v/>
      </c>
      <c r="J116" s="3"/>
      <c r="K116" s="5" t="str">
        <f>IFERROR(Tabla347911[[#This Row],[USD]]/$B$1,"")</f>
        <v/>
      </c>
    </row>
    <row r="117" spans="4:11" ht="15.75" x14ac:dyDescent="0.25">
      <c r="D117" s="2">
        <v>116</v>
      </c>
      <c r="E117" s="6"/>
      <c r="F117" s="2"/>
      <c r="G117" s="2"/>
      <c r="H117" s="2"/>
      <c r="I117" s="2" t="str">
        <f t="shared" si="1"/>
        <v/>
      </c>
      <c r="J117" s="3"/>
      <c r="K117" s="5" t="str">
        <f>IFERROR(Tabla347911[[#This Row],[USD]]/$B$1,"")</f>
        <v/>
      </c>
    </row>
    <row r="118" spans="4:11" ht="15.75" x14ac:dyDescent="0.25">
      <c r="D118" s="2">
        <v>117</v>
      </c>
      <c r="E118" s="6"/>
      <c r="F118" s="2"/>
      <c r="G118" s="2"/>
      <c r="H118" s="2"/>
      <c r="I118" s="2" t="str">
        <f t="shared" si="1"/>
        <v/>
      </c>
      <c r="J118" s="3"/>
      <c r="K118" s="5" t="str">
        <f>IFERROR(Tabla347911[[#This Row],[USD]]/$B$1,"")</f>
        <v/>
      </c>
    </row>
    <row r="119" spans="4:11" ht="15.75" x14ac:dyDescent="0.25">
      <c r="D119" s="2">
        <v>118</v>
      </c>
      <c r="E119" s="6"/>
      <c r="F119" s="2"/>
      <c r="G119" s="2"/>
      <c r="H119" s="2"/>
      <c r="I119" s="2" t="str">
        <f t="shared" si="1"/>
        <v/>
      </c>
      <c r="J119" s="3"/>
      <c r="K119" s="5" t="str">
        <f>IFERROR(Tabla347911[[#This Row],[USD]]/$B$1,"")</f>
        <v/>
      </c>
    </row>
    <row r="120" spans="4:11" ht="15.75" x14ac:dyDescent="0.25">
      <c r="D120" s="2">
        <v>119</v>
      </c>
      <c r="E120" s="6"/>
      <c r="F120" s="2"/>
      <c r="G120" s="2"/>
      <c r="H120" s="2"/>
      <c r="I120" s="2" t="str">
        <f t="shared" si="1"/>
        <v/>
      </c>
      <c r="J120" s="3"/>
      <c r="K120" s="5" t="str">
        <f>IFERROR(Tabla347911[[#This Row],[USD]]/$B$1,"")</f>
        <v/>
      </c>
    </row>
    <row r="121" spans="4:11" ht="15.75" x14ac:dyDescent="0.25">
      <c r="D121" s="2">
        <v>120</v>
      </c>
      <c r="E121" s="6"/>
      <c r="F121" s="2"/>
      <c r="G121" s="2"/>
      <c r="H121" s="2"/>
      <c r="I121" s="2" t="str">
        <f t="shared" si="1"/>
        <v/>
      </c>
      <c r="J121" s="3"/>
      <c r="K121" s="5" t="str">
        <f>IFERROR(Tabla347911[[#This Row],[USD]]/$B$1,"")</f>
        <v/>
      </c>
    </row>
    <row r="122" spans="4:11" ht="15.75" x14ac:dyDescent="0.25">
      <c r="D122" s="2">
        <v>121</v>
      </c>
      <c r="E122" s="6"/>
      <c r="F122" s="2"/>
      <c r="G122" s="2"/>
      <c r="H122" s="2"/>
      <c r="I122" s="2" t="str">
        <f t="shared" si="1"/>
        <v/>
      </c>
      <c r="J122" s="3"/>
      <c r="K122" s="5" t="str">
        <f>IFERROR(Tabla347911[[#This Row],[USD]]/$B$1,"")</f>
        <v/>
      </c>
    </row>
    <row r="123" spans="4:11" ht="15.75" x14ac:dyDescent="0.25">
      <c r="D123" s="2">
        <v>122</v>
      </c>
      <c r="E123" s="6"/>
      <c r="F123" s="2"/>
      <c r="G123" s="2"/>
      <c r="H123" s="2"/>
      <c r="I123" s="2" t="str">
        <f t="shared" si="1"/>
        <v/>
      </c>
      <c r="J123" s="3"/>
      <c r="K123" s="5" t="str">
        <f>IFERROR(Tabla347911[[#This Row],[USD]]/$B$1,"")</f>
        <v/>
      </c>
    </row>
    <row r="124" spans="4:11" ht="15.75" x14ac:dyDescent="0.25">
      <c r="D124" s="2">
        <v>123</v>
      </c>
      <c r="E124" s="6"/>
      <c r="F124" s="2"/>
      <c r="G124" s="2"/>
      <c r="H124" s="2"/>
      <c r="I124" s="2" t="str">
        <f t="shared" si="1"/>
        <v/>
      </c>
      <c r="J124" s="3"/>
      <c r="K124" s="5" t="str">
        <f>IFERROR(Tabla347911[[#This Row],[USD]]/$B$1,"")</f>
        <v/>
      </c>
    </row>
    <row r="125" spans="4:11" ht="15.75" x14ac:dyDescent="0.25">
      <c r="D125" s="2">
        <v>124</v>
      </c>
      <c r="E125" s="6"/>
      <c r="F125" s="2"/>
      <c r="G125" s="2"/>
      <c r="H125" s="2"/>
      <c r="I125" s="2" t="str">
        <f t="shared" si="1"/>
        <v/>
      </c>
      <c r="J125" s="3"/>
      <c r="K125" s="5" t="str">
        <f>IFERROR(Tabla347911[[#This Row],[USD]]/$B$1,"")</f>
        <v/>
      </c>
    </row>
    <row r="126" spans="4:11" ht="15.75" x14ac:dyDescent="0.25">
      <c r="D126" s="2">
        <v>125</v>
      </c>
      <c r="E126" s="6"/>
      <c r="F126" s="2"/>
      <c r="G126" s="2"/>
      <c r="H126" s="2"/>
      <c r="I126" s="2" t="str">
        <f t="shared" si="1"/>
        <v/>
      </c>
      <c r="J126" s="3"/>
      <c r="K126" s="5" t="str">
        <f>IFERROR(Tabla347911[[#This Row],[USD]]/$B$1,"")</f>
        <v/>
      </c>
    </row>
    <row r="127" spans="4:11" ht="15.75" x14ac:dyDescent="0.25">
      <c r="D127" s="2">
        <v>126</v>
      </c>
      <c r="E127" s="6"/>
      <c r="F127" s="2"/>
      <c r="G127" s="2"/>
      <c r="H127" s="2"/>
      <c r="I127" s="2" t="str">
        <f t="shared" si="1"/>
        <v/>
      </c>
      <c r="J127" s="3"/>
      <c r="K127" s="5" t="str">
        <f>IFERROR(Tabla347911[[#This Row],[USD]]/$B$1,"")</f>
        <v/>
      </c>
    </row>
    <row r="128" spans="4:11" ht="15.75" x14ac:dyDescent="0.25">
      <c r="D128" s="2">
        <v>127</v>
      </c>
      <c r="E128" s="6"/>
      <c r="F128" s="2"/>
      <c r="G128" s="2"/>
      <c r="H128" s="2"/>
      <c r="I128" s="2" t="str">
        <f t="shared" si="1"/>
        <v/>
      </c>
      <c r="J128" s="3"/>
      <c r="K128" s="5" t="str">
        <f>IFERROR(Tabla347911[[#This Row],[USD]]/$B$1,"")</f>
        <v/>
      </c>
    </row>
    <row r="129" spans="4:11" ht="15.75" x14ac:dyDescent="0.25">
      <c r="D129" s="2">
        <v>128</v>
      </c>
      <c r="E129" s="6"/>
      <c r="F129" s="2"/>
      <c r="G129" s="2"/>
      <c r="H129" s="2"/>
      <c r="I129" s="2" t="str">
        <f t="shared" si="1"/>
        <v/>
      </c>
      <c r="J129" s="3"/>
      <c r="K129" s="5" t="str">
        <f>IFERROR(Tabla347911[[#This Row],[USD]]/$B$1,"")</f>
        <v/>
      </c>
    </row>
    <row r="130" spans="4:11" ht="15.75" x14ac:dyDescent="0.25">
      <c r="D130" s="2">
        <v>129</v>
      </c>
      <c r="E130" s="6"/>
      <c r="F130" s="2"/>
      <c r="G130" s="2"/>
      <c r="H130" s="2"/>
      <c r="I130" s="2" t="str">
        <f t="shared" si="1"/>
        <v/>
      </c>
      <c r="J130" s="3"/>
      <c r="K130" s="5" t="str">
        <f>IFERROR(Tabla347911[[#This Row],[USD]]/$B$1,"")</f>
        <v/>
      </c>
    </row>
    <row r="131" spans="4:11" ht="15.75" x14ac:dyDescent="0.25">
      <c r="D131" s="2">
        <v>130</v>
      </c>
      <c r="E131" s="6"/>
      <c r="F131" s="2"/>
      <c r="G131" s="2"/>
      <c r="H131" s="2"/>
      <c r="I131" s="2" t="str">
        <f t="shared" ref="I131:I194" si="2">IF(J131="","",IF(J131&gt;3,"Ganado",IF(J131&lt;-3,"Perdido","Break Even")))</f>
        <v/>
      </c>
      <c r="J131" s="3"/>
      <c r="K131" s="5" t="str">
        <f>IFERROR(Tabla347911[[#This Row],[USD]]/$B$1,"")</f>
        <v/>
      </c>
    </row>
    <row r="132" spans="4:11" ht="15.75" x14ac:dyDescent="0.25">
      <c r="D132" s="2">
        <v>131</v>
      </c>
      <c r="E132" s="6"/>
      <c r="F132" s="2"/>
      <c r="G132" s="2"/>
      <c r="H132" s="2"/>
      <c r="I132" s="2" t="str">
        <f t="shared" si="2"/>
        <v/>
      </c>
      <c r="J132" s="3"/>
      <c r="K132" s="5" t="str">
        <f>IFERROR(Tabla347911[[#This Row],[USD]]/$B$1,"")</f>
        <v/>
      </c>
    </row>
    <row r="133" spans="4:11" ht="15.75" x14ac:dyDescent="0.25">
      <c r="D133" s="2">
        <v>132</v>
      </c>
      <c r="E133" s="6"/>
      <c r="F133" s="2"/>
      <c r="G133" s="2"/>
      <c r="H133" s="2"/>
      <c r="I133" s="2" t="str">
        <f t="shared" si="2"/>
        <v/>
      </c>
      <c r="J133" s="3"/>
      <c r="K133" s="5" t="str">
        <f>IFERROR(Tabla347911[[#This Row],[USD]]/$B$1,"")</f>
        <v/>
      </c>
    </row>
    <row r="134" spans="4:11" ht="15.75" x14ac:dyDescent="0.25">
      <c r="D134" s="2">
        <v>133</v>
      </c>
      <c r="E134" s="6"/>
      <c r="F134" s="2"/>
      <c r="G134" s="2"/>
      <c r="H134" s="2"/>
      <c r="I134" s="2" t="str">
        <f t="shared" si="2"/>
        <v/>
      </c>
      <c r="J134" s="3"/>
      <c r="K134" s="5" t="str">
        <f>IFERROR(Tabla347911[[#This Row],[USD]]/$B$1,"")</f>
        <v/>
      </c>
    </row>
    <row r="135" spans="4:11" ht="15.75" x14ac:dyDescent="0.25">
      <c r="D135" s="2">
        <v>134</v>
      </c>
      <c r="E135" s="6"/>
      <c r="F135" s="2"/>
      <c r="G135" s="2"/>
      <c r="H135" s="2"/>
      <c r="I135" s="2" t="str">
        <f t="shared" si="2"/>
        <v/>
      </c>
      <c r="J135" s="3"/>
      <c r="K135" s="5" t="str">
        <f>IFERROR(Tabla347911[[#This Row],[USD]]/$B$1,"")</f>
        <v/>
      </c>
    </row>
    <row r="136" spans="4:11" ht="15.75" x14ac:dyDescent="0.25">
      <c r="D136" s="2">
        <v>135</v>
      </c>
      <c r="E136" s="6"/>
      <c r="F136" s="2"/>
      <c r="G136" s="2"/>
      <c r="H136" s="2"/>
      <c r="I136" s="2" t="str">
        <f t="shared" si="2"/>
        <v/>
      </c>
      <c r="J136" s="3"/>
      <c r="K136" s="5" t="str">
        <f>IFERROR(Tabla347911[[#This Row],[USD]]/$B$1,"")</f>
        <v/>
      </c>
    </row>
    <row r="137" spans="4:11" ht="15.75" x14ac:dyDescent="0.25">
      <c r="D137" s="2">
        <v>136</v>
      </c>
      <c r="E137" s="6"/>
      <c r="F137" s="2"/>
      <c r="G137" s="2"/>
      <c r="H137" s="2"/>
      <c r="I137" s="2" t="str">
        <f t="shared" si="2"/>
        <v/>
      </c>
      <c r="J137" s="3"/>
      <c r="K137" s="5" t="str">
        <f>IFERROR(Tabla347911[[#This Row],[USD]]/$B$1,"")</f>
        <v/>
      </c>
    </row>
    <row r="138" spans="4:11" ht="15.75" x14ac:dyDescent="0.25">
      <c r="D138" s="2">
        <v>137</v>
      </c>
      <c r="E138" s="6"/>
      <c r="F138" s="2"/>
      <c r="G138" s="2"/>
      <c r="H138" s="2"/>
      <c r="I138" s="2" t="str">
        <f t="shared" si="2"/>
        <v/>
      </c>
      <c r="J138" s="3"/>
      <c r="K138" s="5" t="str">
        <f>IFERROR(Tabla347911[[#This Row],[USD]]/$B$1,"")</f>
        <v/>
      </c>
    </row>
    <row r="139" spans="4:11" ht="15.75" x14ac:dyDescent="0.25">
      <c r="D139" s="2">
        <v>138</v>
      </c>
      <c r="E139" s="6"/>
      <c r="F139" s="2"/>
      <c r="G139" s="2"/>
      <c r="H139" s="2"/>
      <c r="I139" s="2" t="str">
        <f t="shared" si="2"/>
        <v/>
      </c>
      <c r="J139" s="3"/>
      <c r="K139" s="5" t="str">
        <f>IFERROR(Tabla347911[[#This Row],[USD]]/$B$1,"")</f>
        <v/>
      </c>
    </row>
    <row r="140" spans="4:11" ht="15.75" x14ac:dyDescent="0.25">
      <c r="D140" s="2">
        <v>139</v>
      </c>
      <c r="E140" s="6"/>
      <c r="F140" s="2"/>
      <c r="G140" s="2"/>
      <c r="H140" s="2"/>
      <c r="I140" s="2" t="str">
        <f t="shared" si="2"/>
        <v/>
      </c>
      <c r="J140" s="3"/>
      <c r="K140" s="5" t="str">
        <f>IFERROR(Tabla347911[[#This Row],[USD]]/$B$1,"")</f>
        <v/>
      </c>
    </row>
    <row r="141" spans="4:11" ht="15.75" x14ac:dyDescent="0.25">
      <c r="D141" s="2">
        <v>140</v>
      </c>
      <c r="E141" s="6"/>
      <c r="F141" s="2"/>
      <c r="G141" s="2"/>
      <c r="H141" s="2"/>
      <c r="I141" s="2" t="str">
        <f t="shared" si="2"/>
        <v/>
      </c>
      <c r="J141" s="3"/>
      <c r="K141" s="5" t="str">
        <f>IFERROR(Tabla347911[[#This Row],[USD]]/$B$1,"")</f>
        <v/>
      </c>
    </row>
    <row r="142" spans="4:11" ht="15.75" x14ac:dyDescent="0.25">
      <c r="D142" s="2">
        <v>141</v>
      </c>
      <c r="E142" s="6"/>
      <c r="F142" s="2"/>
      <c r="G142" s="2"/>
      <c r="H142" s="2"/>
      <c r="I142" s="2" t="str">
        <f t="shared" si="2"/>
        <v/>
      </c>
      <c r="J142" s="3"/>
      <c r="K142" s="5" t="str">
        <f>IFERROR(Tabla347911[[#This Row],[USD]]/$B$1,"")</f>
        <v/>
      </c>
    </row>
    <row r="143" spans="4:11" ht="15.75" x14ac:dyDescent="0.25">
      <c r="D143" s="2">
        <v>142</v>
      </c>
      <c r="E143" s="6"/>
      <c r="F143" s="2"/>
      <c r="G143" s="2"/>
      <c r="H143" s="2"/>
      <c r="I143" s="2" t="str">
        <f t="shared" si="2"/>
        <v/>
      </c>
      <c r="J143" s="3"/>
      <c r="K143" s="5" t="str">
        <f>IFERROR(Tabla347911[[#This Row],[USD]]/$B$1,"")</f>
        <v/>
      </c>
    </row>
    <row r="144" spans="4:11" ht="15.75" x14ac:dyDescent="0.25">
      <c r="D144" s="2">
        <v>143</v>
      </c>
      <c r="E144" s="6"/>
      <c r="F144" s="2"/>
      <c r="G144" s="2"/>
      <c r="H144" s="2"/>
      <c r="I144" s="2" t="str">
        <f t="shared" si="2"/>
        <v/>
      </c>
      <c r="J144" s="3"/>
      <c r="K144" s="5" t="str">
        <f>IFERROR(Tabla347911[[#This Row],[USD]]/$B$1,"")</f>
        <v/>
      </c>
    </row>
    <row r="145" spans="4:11" ht="15.75" x14ac:dyDescent="0.25">
      <c r="D145" s="2">
        <v>144</v>
      </c>
      <c r="E145" s="6"/>
      <c r="F145" s="2"/>
      <c r="G145" s="2"/>
      <c r="H145" s="2"/>
      <c r="I145" s="2" t="str">
        <f t="shared" si="2"/>
        <v/>
      </c>
      <c r="J145" s="3"/>
      <c r="K145" s="5" t="str">
        <f>IFERROR(Tabla347911[[#This Row],[USD]]/$B$1,"")</f>
        <v/>
      </c>
    </row>
    <row r="146" spans="4:11" ht="15.75" x14ac:dyDescent="0.25">
      <c r="D146" s="2">
        <v>145</v>
      </c>
      <c r="E146" s="6"/>
      <c r="F146" s="2"/>
      <c r="G146" s="2"/>
      <c r="H146" s="2"/>
      <c r="I146" s="2" t="str">
        <f t="shared" si="2"/>
        <v/>
      </c>
      <c r="J146" s="3"/>
      <c r="K146" s="5" t="str">
        <f>IFERROR(Tabla347911[[#This Row],[USD]]/$B$1,"")</f>
        <v/>
      </c>
    </row>
    <row r="147" spans="4:11" ht="15.75" x14ac:dyDescent="0.25">
      <c r="D147" s="2">
        <v>146</v>
      </c>
      <c r="E147" s="6"/>
      <c r="F147" s="2"/>
      <c r="G147" s="2"/>
      <c r="H147" s="2"/>
      <c r="I147" s="2" t="str">
        <f t="shared" si="2"/>
        <v/>
      </c>
      <c r="J147" s="3"/>
      <c r="K147" s="5" t="str">
        <f>IFERROR(Tabla347911[[#This Row],[USD]]/$B$1,"")</f>
        <v/>
      </c>
    </row>
    <row r="148" spans="4:11" ht="15.75" x14ac:dyDescent="0.25">
      <c r="D148" s="2">
        <v>147</v>
      </c>
      <c r="E148" s="6"/>
      <c r="F148" s="2"/>
      <c r="G148" s="2"/>
      <c r="H148" s="2"/>
      <c r="I148" s="2" t="str">
        <f t="shared" si="2"/>
        <v/>
      </c>
      <c r="J148" s="3"/>
      <c r="K148" s="5" t="str">
        <f>IFERROR(Tabla347911[[#This Row],[USD]]/$B$1,"")</f>
        <v/>
      </c>
    </row>
    <row r="149" spans="4:11" ht="15.75" x14ac:dyDescent="0.25">
      <c r="D149" s="2">
        <v>148</v>
      </c>
      <c r="E149" s="6"/>
      <c r="F149" s="2"/>
      <c r="G149" s="2"/>
      <c r="H149" s="2"/>
      <c r="I149" s="2" t="str">
        <f t="shared" si="2"/>
        <v/>
      </c>
      <c r="J149" s="3"/>
      <c r="K149" s="5" t="str">
        <f>IFERROR(Tabla347911[[#This Row],[USD]]/$B$1,"")</f>
        <v/>
      </c>
    </row>
    <row r="150" spans="4:11" ht="15.75" x14ac:dyDescent="0.25">
      <c r="D150" s="2">
        <v>149</v>
      </c>
      <c r="E150" s="6"/>
      <c r="F150" s="2"/>
      <c r="G150" s="2"/>
      <c r="H150" s="2"/>
      <c r="I150" s="2" t="str">
        <f t="shared" si="2"/>
        <v/>
      </c>
      <c r="J150" s="3"/>
      <c r="K150" s="5" t="str">
        <f>IFERROR(Tabla347911[[#This Row],[USD]]/$B$1,"")</f>
        <v/>
      </c>
    </row>
    <row r="151" spans="4:11" ht="15.75" x14ac:dyDescent="0.25">
      <c r="D151" s="2">
        <v>150</v>
      </c>
      <c r="E151" s="6"/>
      <c r="F151" s="2"/>
      <c r="G151" s="2"/>
      <c r="H151" s="2"/>
      <c r="I151" s="2" t="str">
        <f t="shared" si="2"/>
        <v/>
      </c>
      <c r="J151" s="3"/>
      <c r="K151" s="5" t="str">
        <f>IFERROR(Tabla347911[[#This Row],[USD]]/$B$1,"")</f>
        <v/>
      </c>
    </row>
    <row r="152" spans="4:11" ht="15.75" x14ac:dyDescent="0.25">
      <c r="D152" s="2">
        <v>151</v>
      </c>
      <c r="E152" s="6"/>
      <c r="F152" s="2"/>
      <c r="G152" s="2"/>
      <c r="H152" s="2"/>
      <c r="I152" s="2" t="str">
        <f t="shared" si="2"/>
        <v/>
      </c>
      <c r="J152" s="3"/>
      <c r="K152" s="5" t="str">
        <f>IFERROR(Tabla347911[[#This Row],[USD]]/$B$1,"")</f>
        <v/>
      </c>
    </row>
    <row r="153" spans="4:11" ht="15.75" x14ac:dyDescent="0.25">
      <c r="D153" s="2">
        <v>152</v>
      </c>
      <c r="E153" s="6"/>
      <c r="F153" s="2"/>
      <c r="G153" s="2"/>
      <c r="H153" s="2"/>
      <c r="I153" s="2" t="str">
        <f t="shared" si="2"/>
        <v/>
      </c>
      <c r="J153" s="3"/>
      <c r="K153" s="5" t="str">
        <f>IFERROR(Tabla347911[[#This Row],[USD]]/$B$1,"")</f>
        <v/>
      </c>
    </row>
    <row r="154" spans="4:11" ht="15.75" x14ac:dyDescent="0.25">
      <c r="D154" s="2">
        <v>153</v>
      </c>
      <c r="E154" s="6"/>
      <c r="F154" s="2"/>
      <c r="G154" s="2"/>
      <c r="H154" s="2"/>
      <c r="I154" s="2" t="str">
        <f t="shared" si="2"/>
        <v/>
      </c>
      <c r="J154" s="3"/>
      <c r="K154" s="5" t="str">
        <f>IFERROR(Tabla347911[[#This Row],[USD]]/$B$1,"")</f>
        <v/>
      </c>
    </row>
    <row r="155" spans="4:11" ht="15.75" x14ac:dyDescent="0.25">
      <c r="D155" s="2">
        <v>154</v>
      </c>
      <c r="E155" s="6"/>
      <c r="F155" s="2"/>
      <c r="G155" s="2"/>
      <c r="H155" s="2"/>
      <c r="I155" s="2" t="str">
        <f t="shared" si="2"/>
        <v/>
      </c>
      <c r="J155" s="3"/>
      <c r="K155" s="5" t="str">
        <f>IFERROR(Tabla347911[[#This Row],[USD]]/$B$1,"")</f>
        <v/>
      </c>
    </row>
    <row r="156" spans="4:11" ht="15.75" x14ac:dyDescent="0.25">
      <c r="D156" s="2">
        <v>155</v>
      </c>
      <c r="E156" s="6"/>
      <c r="F156" s="2"/>
      <c r="G156" s="2"/>
      <c r="H156" s="2"/>
      <c r="I156" s="2" t="str">
        <f t="shared" si="2"/>
        <v/>
      </c>
      <c r="J156" s="3"/>
      <c r="K156" s="5" t="str">
        <f>IFERROR(Tabla347911[[#This Row],[USD]]/$B$1,"")</f>
        <v/>
      </c>
    </row>
    <row r="157" spans="4:11" ht="15.75" x14ac:dyDescent="0.25">
      <c r="D157" s="2">
        <v>156</v>
      </c>
      <c r="E157" s="6"/>
      <c r="F157" s="2"/>
      <c r="G157" s="2"/>
      <c r="H157" s="2"/>
      <c r="I157" s="2" t="str">
        <f t="shared" si="2"/>
        <v/>
      </c>
      <c r="J157" s="3"/>
      <c r="K157" s="5" t="str">
        <f>IFERROR(Tabla347911[[#This Row],[USD]]/$B$1,"")</f>
        <v/>
      </c>
    </row>
    <row r="158" spans="4:11" ht="15.75" x14ac:dyDescent="0.25">
      <c r="D158" s="2">
        <v>157</v>
      </c>
      <c r="E158" s="6"/>
      <c r="F158" s="2"/>
      <c r="G158" s="2"/>
      <c r="H158" s="2"/>
      <c r="I158" s="2" t="str">
        <f t="shared" si="2"/>
        <v/>
      </c>
      <c r="J158" s="3"/>
      <c r="K158" s="5" t="str">
        <f>IFERROR(Tabla347911[[#This Row],[USD]]/$B$1,"")</f>
        <v/>
      </c>
    </row>
    <row r="159" spans="4:11" ht="15.75" x14ac:dyDescent="0.25">
      <c r="D159" s="2">
        <v>158</v>
      </c>
      <c r="E159" s="6"/>
      <c r="F159" s="2"/>
      <c r="G159" s="2"/>
      <c r="H159" s="2"/>
      <c r="I159" s="2" t="str">
        <f t="shared" si="2"/>
        <v/>
      </c>
      <c r="J159" s="3"/>
      <c r="K159" s="5" t="str">
        <f>IFERROR(Tabla347911[[#This Row],[USD]]/$B$1,"")</f>
        <v/>
      </c>
    </row>
    <row r="160" spans="4:11" ht="15.75" x14ac:dyDescent="0.25">
      <c r="D160" s="2">
        <v>159</v>
      </c>
      <c r="E160" s="6"/>
      <c r="F160" s="2"/>
      <c r="G160" s="2"/>
      <c r="H160" s="2"/>
      <c r="I160" s="2" t="str">
        <f t="shared" si="2"/>
        <v/>
      </c>
      <c r="J160" s="3"/>
      <c r="K160" s="5" t="str">
        <f>IFERROR(Tabla347911[[#This Row],[USD]]/$B$1,"")</f>
        <v/>
      </c>
    </row>
    <row r="161" spans="4:11" ht="15.75" x14ac:dyDescent="0.25">
      <c r="D161" s="2">
        <v>160</v>
      </c>
      <c r="E161" s="6"/>
      <c r="F161" s="2"/>
      <c r="G161" s="2"/>
      <c r="H161" s="2"/>
      <c r="I161" s="2" t="str">
        <f t="shared" si="2"/>
        <v/>
      </c>
      <c r="J161" s="3"/>
      <c r="K161" s="5" t="str">
        <f>IFERROR(Tabla347911[[#This Row],[USD]]/$B$1,"")</f>
        <v/>
      </c>
    </row>
    <row r="162" spans="4:11" ht="15.75" x14ac:dyDescent="0.25">
      <c r="D162" s="2">
        <v>161</v>
      </c>
      <c r="E162" s="6"/>
      <c r="F162" s="2"/>
      <c r="G162" s="2"/>
      <c r="H162" s="2"/>
      <c r="I162" s="2" t="str">
        <f t="shared" si="2"/>
        <v/>
      </c>
      <c r="J162" s="3"/>
      <c r="K162" s="5" t="str">
        <f>IFERROR(Tabla347911[[#This Row],[USD]]/$B$1,"")</f>
        <v/>
      </c>
    </row>
    <row r="163" spans="4:11" ht="15.75" x14ac:dyDescent="0.25">
      <c r="D163" s="2">
        <v>162</v>
      </c>
      <c r="E163" s="6"/>
      <c r="F163" s="2"/>
      <c r="G163" s="2"/>
      <c r="H163" s="2"/>
      <c r="I163" s="2" t="str">
        <f t="shared" si="2"/>
        <v/>
      </c>
      <c r="J163" s="3"/>
      <c r="K163" s="5" t="str">
        <f>IFERROR(Tabla347911[[#This Row],[USD]]/$B$1,"")</f>
        <v/>
      </c>
    </row>
    <row r="164" spans="4:11" ht="15.75" x14ac:dyDescent="0.25">
      <c r="D164" s="2">
        <v>163</v>
      </c>
      <c r="E164" s="6"/>
      <c r="F164" s="2"/>
      <c r="G164" s="2"/>
      <c r="H164" s="2"/>
      <c r="I164" s="2" t="str">
        <f t="shared" si="2"/>
        <v/>
      </c>
      <c r="J164" s="3"/>
      <c r="K164" s="5" t="str">
        <f>IFERROR(Tabla347911[[#This Row],[USD]]/$B$1,"")</f>
        <v/>
      </c>
    </row>
    <row r="165" spans="4:11" ht="15.75" x14ac:dyDescent="0.25">
      <c r="D165" s="2">
        <v>164</v>
      </c>
      <c r="E165" s="6"/>
      <c r="F165" s="2"/>
      <c r="G165" s="2"/>
      <c r="H165" s="2"/>
      <c r="I165" s="2" t="str">
        <f t="shared" si="2"/>
        <v/>
      </c>
      <c r="J165" s="3"/>
      <c r="K165" s="5" t="str">
        <f>IFERROR(Tabla347911[[#This Row],[USD]]/$B$1,"")</f>
        <v/>
      </c>
    </row>
    <row r="166" spans="4:11" ht="15.75" x14ac:dyDescent="0.25">
      <c r="D166" s="2">
        <v>165</v>
      </c>
      <c r="E166" s="6"/>
      <c r="F166" s="2"/>
      <c r="G166" s="2"/>
      <c r="H166" s="2"/>
      <c r="I166" s="2" t="str">
        <f t="shared" si="2"/>
        <v/>
      </c>
      <c r="J166" s="3"/>
      <c r="K166" s="5" t="str">
        <f>IFERROR(Tabla347911[[#This Row],[USD]]/$B$1,"")</f>
        <v/>
      </c>
    </row>
    <row r="167" spans="4:11" ht="15.75" x14ac:dyDescent="0.25">
      <c r="D167" s="2">
        <v>166</v>
      </c>
      <c r="E167" s="6"/>
      <c r="F167" s="2"/>
      <c r="G167" s="2"/>
      <c r="H167" s="2"/>
      <c r="I167" s="2" t="str">
        <f t="shared" si="2"/>
        <v/>
      </c>
      <c r="J167" s="3"/>
      <c r="K167" s="5" t="str">
        <f>IFERROR(Tabla347911[[#This Row],[USD]]/$B$1,"")</f>
        <v/>
      </c>
    </row>
    <row r="168" spans="4:11" ht="15.75" x14ac:dyDescent="0.25">
      <c r="D168" s="2">
        <v>167</v>
      </c>
      <c r="E168" s="6"/>
      <c r="F168" s="2"/>
      <c r="G168" s="2"/>
      <c r="H168" s="2"/>
      <c r="I168" s="2" t="str">
        <f t="shared" si="2"/>
        <v/>
      </c>
      <c r="J168" s="3"/>
      <c r="K168" s="5" t="str">
        <f>IFERROR(Tabla347911[[#This Row],[USD]]/$B$1,"")</f>
        <v/>
      </c>
    </row>
    <row r="169" spans="4:11" ht="15.75" x14ac:dyDescent="0.25">
      <c r="D169" s="2">
        <v>168</v>
      </c>
      <c r="E169" s="6"/>
      <c r="F169" s="2"/>
      <c r="G169" s="2"/>
      <c r="H169" s="2"/>
      <c r="I169" s="2" t="str">
        <f t="shared" si="2"/>
        <v/>
      </c>
      <c r="J169" s="3"/>
      <c r="K169" s="5" t="str">
        <f>IFERROR(Tabla347911[[#This Row],[USD]]/$B$1,"")</f>
        <v/>
      </c>
    </row>
    <row r="170" spans="4:11" ht="15.75" x14ac:dyDescent="0.25">
      <c r="D170" s="2">
        <v>169</v>
      </c>
      <c r="E170" s="6"/>
      <c r="F170" s="2"/>
      <c r="G170" s="2"/>
      <c r="H170" s="2"/>
      <c r="I170" s="2" t="str">
        <f t="shared" si="2"/>
        <v/>
      </c>
      <c r="J170" s="3"/>
      <c r="K170" s="5" t="str">
        <f>IFERROR(Tabla347911[[#This Row],[USD]]/$B$1,"")</f>
        <v/>
      </c>
    </row>
    <row r="171" spans="4:11" ht="15.75" x14ac:dyDescent="0.25">
      <c r="D171" s="2">
        <v>170</v>
      </c>
      <c r="E171" s="6"/>
      <c r="F171" s="2"/>
      <c r="G171" s="2"/>
      <c r="H171" s="2"/>
      <c r="I171" s="2" t="str">
        <f t="shared" si="2"/>
        <v/>
      </c>
      <c r="J171" s="3"/>
      <c r="K171" s="5" t="str">
        <f>IFERROR(Tabla347911[[#This Row],[USD]]/$B$1,"")</f>
        <v/>
      </c>
    </row>
    <row r="172" spans="4:11" ht="15.75" x14ac:dyDescent="0.25">
      <c r="D172" s="2">
        <v>171</v>
      </c>
      <c r="E172" s="6"/>
      <c r="F172" s="2"/>
      <c r="G172" s="2"/>
      <c r="H172" s="2"/>
      <c r="I172" s="2" t="str">
        <f t="shared" si="2"/>
        <v/>
      </c>
      <c r="J172" s="3"/>
      <c r="K172" s="5" t="str">
        <f>IFERROR(Tabla347911[[#This Row],[USD]]/$B$1,"")</f>
        <v/>
      </c>
    </row>
    <row r="173" spans="4:11" ht="15.75" x14ac:dyDescent="0.25">
      <c r="D173" s="2">
        <v>172</v>
      </c>
      <c r="E173" s="6"/>
      <c r="F173" s="2"/>
      <c r="G173" s="2"/>
      <c r="H173" s="2"/>
      <c r="I173" s="2" t="str">
        <f t="shared" si="2"/>
        <v/>
      </c>
      <c r="J173" s="3"/>
      <c r="K173" s="5" t="str">
        <f>IFERROR(Tabla347911[[#This Row],[USD]]/$B$1,"")</f>
        <v/>
      </c>
    </row>
    <row r="174" spans="4:11" ht="15.75" x14ac:dyDescent="0.25">
      <c r="D174" s="2">
        <v>173</v>
      </c>
      <c r="E174" s="6"/>
      <c r="F174" s="2"/>
      <c r="G174" s="2"/>
      <c r="H174" s="2"/>
      <c r="I174" s="2" t="str">
        <f t="shared" si="2"/>
        <v/>
      </c>
      <c r="J174" s="3"/>
      <c r="K174" s="5" t="str">
        <f>IFERROR(Tabla347911[[#This Row],[USD]]/$B$1,"")</f>
        <v/>
      </c>
    </row>
    <row r="175" spans="4:11" ht="15.75" x14ac:dyDescent="0.25">
      <c r="D175" s="2">
        <v>174</v>
      </c>
      <c r="E175" s="6"/>
      <c r="F175" s="2"/>
      <c r="G175" s="2"/>
      <c r="H175" s="2"/>
      <c r="I175" s="2" t="str">
        <f t="shared" si="2"/>
        <v/>
      </c>
      <c r="J175" s="3"/>
      <c r="K175" s="5" t="str">
        <f>IFERROR(Tabla347911[[#This Row],[USD]]/$B$1,"")</f>
        <v/>
      </c>
    </row>
    <row r="176" spans="4:11" ht="15.75" x14ac:dyDescent="0.25">
      <c r="D176" s="2">
        <v>175</v>
      </c>
      <c r="E176" s="6"/>
      <c r="F176" s="2"/>
      <c r="G176" s="2"/>
      <c r="H176" s="2"/>
      <c r="I176" s="2" t="str">
        <f t="shared" si="2"/>
        <v/>
      </c>
      <c r="J176" s="3"/>
      <c r="K176" s="5" t="str">
        <f>IFERROR(Tabla347911[[#This Row],[USD]]/$B$1,"")</f>
        <v/>
      </c>
    </row>
    <row r="177" spans="4:11" ht="15.75" x14ac:dyDescent="0.25">
      <c r="D177" s="2">
        <v>176</v>
      </c>
      <c r="E177" s="6"/>
      <c r="F177" s="2"/>
      <c r="G177" s="2"/>
      <c r="H177" s="2"/>
      <c r="I177" s="2" t="str">
        <f t="shared" si="2"/>
        <v/>
      </c>
      <c r="J177" s="3"/>
      <c r="K177" s="5" t="str">
        <f>IFERROR(Tabla347911[[#This Row],[USD]]/$B$1,"")</f>
        <v/>
      </c>
    </row>
    <row r="178" spans="4:11" ht="15.75" x14ac:dyDescent="0.25">
      <c r="D178" s="2">
        <v>177</v>
      </c>
      <c r="E178" s="6"/>
      <c r="F178" s="2"/>
      <c r="G178" s="2"/>
      <c r="H178" s="2"/>
      <c r="I178" s="2" t="str">
        <f t="shared" si="2"/>
        <v/>
      </c>
      <c r="J178" s="3"/>
      <c r="K178" s="5" t="str">
        <f>IFERROR(Tabla347911[[#This Row],[USD]]/$B$1,"")</f>
        <v/>
      </c>
    </row>
    <row r="179" spans="4:11" ht="15.75" x14ac:dyDescent="0.25">
      <c r="D179" s="2">
        <v>178</v>
      </c>
      <c r="E179" s="6"/>
      <c r="F179" s="2"/>
      <c r="G179" s="2"/>
      <c r="H179" s="2"/>
      <c r="I179" s="2" t="str">
        <f t="shared" si="2"/>
        <v/>
      </c>
      <c r="J179" s="3"/>
      <c r="K179" s="5" t="str">
        <f>IFERROR(Tabla347911[[#This Row],[USD]]/$B$1,"")</f>
        <v/>
      </c>
    </row>
    <row r="180" spans="4:11" ht="15.75" x14ac:dyDescent="0.25">
      <c r="D180" s="2">
        <v>179</v>
      </c>
      <c r="E180" s="6"/>
      <c r="F180" s="2"/>
      <c r="G180" s="2"/>
      <c r="H180" s="2"/>
      <c r="I180" s="2" t="str">
        <f t="shared" si="2"/>
        <v/>
      </c>
      <c r="J180" s="3"/>
      <c r="K180" s="5" t="str">
        <f>IFERROR(Tabla347911[[#This Row],[USD]]/$B$1,"")</f>
        <v/>
      </c>
    </row>
    <row r="181" spans="4:11" ht="15.75" x14ac:dyDescent="0.25">
      <c r="D181" s="2">
        <v>180</v>
      </c>
      <c r="E181" s="6"/>
      <c r="F181" s="2"/>
      <c r="G181" s="2"/>
      <c r="H181" s="2"/>
      <c r="I181" s="2" t="str">
        <f t="shared" si="2"/>
        <v/>
      </c>
      <c r="J181" s="3"/>
      <c r="K181" s="5" t="str">
        <f>IFERROR(Tabla347911[[#This Row],[USD]]/$B$1,"")</f>
        <v/>
      </c>
    </row>
    <row r="182" spans="4:11" ht="15.75" x14ac:dyDescent="0.25">
      <c r="D182" s="2">
        <v>181</v>
      </c>
      <c r="E182" s="6"/>
      <c r="F182" s="2"/>
      <c r="G182" s="2"/>
      <c r="H182" s="2"/>
      <c r="I182" s="2" t="str">
        <f t="shared" si="2"/>
        <v/>
      </c>
      <c r="J182" s="3"/>
      <c r="K182" s="5" t="str">
        <f>IFERROR(Tabla347911[[#This Row],[USD]]/$B$1,"")</f>
        <v/>
      </c>
    </row>
    <row r="183" spans="4:11" ht="15.75" x14ac:dyDescent="0.25">
      <c r="D183" s="2">
        <v>182</v>
      </c>
      <c r="E183" s="6"/>
      <c r="F183" s="2"/>
      <c r="G183" s="2"/>
      <c r="H183" s="2"/>
      <c r="I183" s="2" t="str">
        <f t="shared" si="2"/>
        <v/>
      </c>
      <c r="J183" s="3"/>
      <c r="K183" s="5" t="str">
        <f>IFERROR(Tabla347911[[#This Row],[USD]]/$B$1,"")</f>
        <v/>
      </c>
    </row>
    <row r="184" spans="4:11" ht="15.75" x14ac:dyDescent="0.25">
      <c r="D184" s="2">
        <v>183</v>
      </c>
      <c r="E184" s="6"/>
      <c r="F184" s="2"/>
      <c r="G184" s="2"/>
      <c r="H184" s="2"/>
      <c r="I184" s="2" t="str">
        <f t="shared" si="2"/>
        <v/>
      </c>
      <c r="J184" s="3"/>
      <c r="K184" s="5" t="str">
        <f>IFERROR(Tabla347911[[#This Row],[USD]]/$B$1,"")</f>
        <v/>
      </c>
    </row>
    <row r="185" spans="4:11" ht="15.75" x14ac:dyDescent="0.25">
      <c r="D185" s="2">
        <v>184</v>
      </c>
      <c r="E185" s="6"/>
      <c r="F185" s="2"/>
      <c r="G185" s="2"/>
      <c r="H185" s="2"/>
      <c r="I185" s="2" t="str">
        <f t="shared" si="2"/>
        <v/>
      </c>
      <c r="J185" s="3"/>
      <c r="K185" s="5" t="str">
        <f>IFERROR(Tabla347911[[#This Row],[USD]]/$B$1,"")</f>
        <v/>
      </c>
    </row>
    <row r="186" spans="4:11" ht="15.75" x14ac:dyDescent="0.25">
      <c r="D186" s="2">
        <v>185</v>
      </c>
      <c r="E186" s="6"/>
      <c r="F186" s="2"/>
      <c r="G186" s="2"/>
      <c r="H186" s="2"/>
      <c r="I186" s="2" t="str">
        <f t="shared" si="2"/>
        <v/>
      </c>
      <c r="J186" s="3"/>
      <c r="K186" s="5" t="str">
        <f>IFERROR(Tabla347911[[#This Row],[USD]]/$B$1,"")</f>
        <v/>
      </c>
    </row>
    <row r="187" spans="4:11" ht="15.75" x14ac:dyDescent="0.25">
      <c r="D187" s="2">
        <v>186</v>
      </c>
      <c r="E187" s="6"/>
      <c r="F187" s="2"/>
      <c r="G187" s="2"/>
      <c r="H187" s="2"/>
      <c r="I187" s="2" t="str">
        <f t="shared" si="2"/>
        <v/>
      </c>
      <c r="J187" s="3"/>
      <c r="K187" s="5" t="str">
        <f>IFERROR(Tabla347911[[#This Row],[USD]]/$B$1,"")</f>
        <v/>
      </c>
    </row>
    <row r="188" spans="4:11" ht="15.75" x14ac:dyDescent="0.25">
      <c r="D188" s="2">
        <v>187</v>
      </c>
      <c r="E188" s="6"/>
      <c r="F188" s="2"/>
      <c r="G188" s="2"/>
      <c r="H188" s="2"/>
      <c r="I188" s="2" t="str">
        <f t="shared" si="2"/>
        <v/>
      </c>
      <c r="J188" s="3"/>
      <c r="K188" s="5" t="str">
        <f>IFERROR(Tabla347911[[#This Row],[USD]]/$B$1,"")</f>
        <v/>
      </c>
    </row>
    <row r="189" spans="4:11" ht="15.75" x14ac:dyDescent="0.25">
      <c r="D189" s="2">
        <v>188</v>
      </c>
      <c r="E189" s="6"/>
      <c r="F189" s="2"/>
      <c r="G189" s="2"/>
      <c r="H189" s="2"/>
      <c r="I189" s="2" t="str">
        <f t="shared" si="2"/>
        <v/>
      </c>
      <c r="J189" s="3"/>
      <c r="K189" s="5" t="str">
        <f>IFERROR(Tabla347911[[#This Row],[USD]]/$B$1,"")</f>
        <v/>
      </c>
    </row>
    <row r="190" spans="4:11" ht="15.75" x14ac:dyDescent="0.25">
      <c r="D190" s="2">
        <v>189</v>
      </c>
      <c r="E190" s="6"/>
      <c r="F190" s="2"/>
      <c r="G190" s="2"/>
      <c r="H190" s="2"/>
      <c r="I190" s="2" t="str">
        <f t="shared" si="2"/>
        <v/>
      </c>
      <c r="J190" s="3"/>
      <c r="K190" s="5" t="str">
        <f>IFERROR(Tabla347911[[#This Row],[USD]]/$B$1,"")</f>
        <v/>
      </c>
    </row>
    <row r="191" spans="4:11" ht="15.75" x14ac:dyDescent="0.25">
      <c r="D191" s="2">
        <v>190</v>
      </c>
      <c r="E191" s="6"/>
      <c r="F191" s="2"/>
      <c r="G191" s="2"/>
      <c r="H191" s="2"/>
      <c r="I191" s="2" t="str">
        <f t="shared" si="2"/>
        <v/>
      </c>
      <c r="J191" s="3"/>
      <c r="K191" s="5" t="str">
        <f>IFERROR(Tabla347911[[#This Row],[USD]]/$B$1,"")</f>
        <v/>
      </c>
    </row>
    <row r="192" spans="4:11" ht="15.75" x14ac:dyDescent="0.25">
      <c r="D192" s="2">
        <v>191</v>
      </c>
      <c r="E192" s="6"/>
      <c r="F192" s="2"/>
      <c r="G192" s="2"/>
      <c r="H192" s="2"/>
      <c r="I192" s="2" t="str">
        <f t="shared" si="2"/>
        <v/>
      </c>
      <c r="J192" s="3"/>
      <c r="K192" s="5" t="str">
        <f>IFERROR(Tabla347911[[#This Row],[USD]]/$B$1,"")</f>
        <v/>
      </c>
    </row>
    <row r="193" spans="4:11" ht="15.75" x14ac:dyDescent="0.25">
      <c r="D193" s="2">
        <v>192</v>
      </c>
      <c r="E193" s="6"/>
      <c r="F193" s="2"/>
      <c r="G193" s="2"/>
      <c r="H193" s="2"/>
      <c r="I193" s="2" t="str">
        <f t="shared" si="2"/>
        <v/>
      </c>
      <c r="J193" s="3"/>
      <c r="K193" s="5" t="str">
        <f>IFERROR(Tabla347911[[#This Row],[USD]]/$B$1,"")</f>
        <v/>
      </c>
    </row>
    <row r="194" spans="4:11" ht="15.75" x14ac:dyDescent="0.25">
      <c r="D194" s="2">
        <v>193</v>
      </c>
      <c r="E194" s="6"/>
      <c r="F194" s="2"/>
      <c r="G194" s="2"/>
      <c r="H194" s="2"/>
      <c r="I194" s="2" t="str">
        <f t="shared" si="2"/>
        <v/>
      </c>
      <c r="J194" s="3"/>
      <c r="K194" s="5" t="str">
        <f>IFERROR(Tabla347911[[#This Row],[USD]]/$B$1,"")</f>
        <v/>
      </c>
    </row>
    <row r="195" spans="4:11" ht="15.75" x14ac:dyDescent="0.25">
      <c r="D195" s="2">
        <v>194</v>
      </c>
      <c r="E195" s="6"/>
      <c r="F195" s="2"/>
      <c r="G195" s="2"/>
      <c r="H195" s="2"/>
      <c r="I195" s="2" t="str">
        <f t="shared" ref="I195:I258" si="3">IF(J195="","",IF(J195&gt;3,"Ganado",IF(J195&lt;-3,"Perdido","Break Even")))</f>
        <v/>
      </c>
      <c r="J195" s="3"/>
      <c r="K195" s="5" t="str">
        <f>IFERROR(Tabla347911[[#This Row],[USD]]/$B$1,"")</f>
        <v/>
      </c>
    </row>
    <row r="196" spans="4:11" ht="15.75" x14ac:dyDescent="0.25">
      <c r="D196" s="2">
        <v>195</v>
      </c>
      <c r="E196" s="6"/>
      <c r="F196" s="2"/>
      <c r="G196" s="2"/>
      <c r="H196" s="2"/>
      <c r="I196" s="2" t="str">
        <f t="shared" si="3"/>
        <v/>
      </c>
      <c r="J196" s="3"/>
      <c r="K196" s="5" t="str">
        <f>IFERROR(Tabla347911[[#This Row],[USD]]/$B$1,"")</f>
        <v/>
      </c>
    </row>
    <row r="197" spans="4:11" ht="15.75" x14ac:dyDescent="0.25">
      <c r="D197" s="2">
        <v>196</v>
      </c>
      <c r="E197" s="6"/>
      <c r="F197" s="2"/>
      <c r="G197" s="2"/>
      <c r="H197" s="2"/>
      <c r="I197" s="2" t="str">
        <f t="shared" si="3"/>
        <v/>
      </c>
      <c r="J197" s="3"/>
      <c r="K197" s="5" t="str">
        <f>IFERROR(Tabla347911[[#This Row],[USD]]/$B$1,"")</f>
        <v/>
      </c>
    </row>
    <row r="198" spans="4:11" ht="15.75" x14ac:dyDescent="0.25">
      <c r="D198" s="2">
        <v>197</v>
      </c>
      <c r="E198" s="6"/>
      <c r="F198" s="2"/>
      <c r="G198" s="2"/>
      <c r="H198" s="2"/>
      <c r="I198" s="2" t="str">
        <f t="shared" si="3"/>
        <v/>
      </c>
      <c r="J198" s="3"/>
      <c r="K198" s="5" t="str">
        <f>IFERROR(Tabla347911[[#This Row],[USD]]/$B$1,"")</f>
        <v/>
      </c>
    </row>
    <row r="199" spans="4:11" ht="15.75" x14ac:dyDescent="0.25">
      <c r="D199" s="2">
        <v>198</v>
      </c>
      <c r="E199" s="6"/>
      <c r="F199" s="2"/>
      <c r="G199" s="2"/>
      <c r="H199" s="2"/>
      <c r="I199" s="2" t="str">
        <f t="shared" si="3"/>
        <v/>
      </c>
      <c r="J199" s="3"/>
      <c r="K199" s="5" t="str">
        <f>IFERROR(Tabla347911[[#This Row],[USD]]/$B$1,"")</f>
        <v/>
      </c>
    </row>
    <row r="200" spans="4:11" ht="15.75" x14ac:dyDescent="0.25">
      <c r="D200" s="2">
        <v>199</v>
      </c>
      <c r="E200" s="6"/>
      <c r="F200" s="2"/>
      <c r="G200" s="2"/>
      <c r="H200" s="2"/>
      <c r="I200" s="2" t="str">
        <f t="shared" si="3"/>
        <v/>
      </c>
      <c r="J200" s="3"/>
      <c r="K200" s="5" t="str">
        <f>IFERROR(Tabla347911[[#This Row],[USD]]/$B$1,"")</f>
        <v/>
      </c>
    </row>
    <row r="201" spans="4:11" ht="15.75" x14ac:dyDescent="0.25">
      <c r="D201" s="2">
        <v>200</v>
      </c>
      <c r="E201" s="6"/>
      <c r="F201" s="2"/>
      <c r="G201" s="2"/>
      <c r="H201" s="2"/>
      <c r="I201" s="2" t="str">
        <f t="shared" si="3"/>
        <v/>
      </c>
      <c r="J201" s="3"/>
      <c r="K201" s="5" t="str">
        <f>IFERROR(Tabla347911[[#This Row],[USD]]/$B$1,"")</f>
        <v/>
      </c>
    </row>
    <row r="202" spans="4:11" ht="15.75" x14ac:dyDescent="0.25">
      <c r="D202" s="2">
        <v>201</v>
      </c>
      <c r="E202" s="6"/>
      <c r="F202" s="2"/>
      <c r="G202" s="2"/>
      <c r="H202" s="2"/>
      <c r="I202" s="2" t="str">
        <f t="shared" si="3"/>
        <v/>
      </c>
      <c r="J202" s="3"/>
      <c r="K202" s="5" t="str">
        <f>IFERROR(Tabla347911[[#This Row],[USD]]/$B$1,"")</f>
        <v/>
      </c>
    </row>
    <row r="203" spans="4:11" ht="15.75" x14ac:dyDescent="0.25">
      <c r="D203" s="2">
        <v>202</v>
      </c>
      <c r="E203" s="6"/>
      <c r="F203" s="2"/>
      <c r="G203" s="2"/>
      <c r="H203" s="2"/>
      <c r="I203" s="2" t="str">
        <f t="shared" si="3"/>
        <v/>
      </c>
      <c r="J203" s="3"/>
      <c r="K203" s="5" t="str">
        <f>IFERROR(Tabla347911[[#This Row],[USD]]/$B$1,"")</f>
        <v/>
      </c>
    </row>
    <row r="204" spans="4:11" ht="15.75" x14ac:dyDescent="0.25">
      <c r="D204" s="2">
        <v>203</v>
      </c>
      <c r="E204" s="6"/>
      <c r="F204" s="2"/>
      <c r="G204" s="2"/>
      <c r="H204" s="2"/>
      <c r="I204" s="2" t="str">
        <f t="shared" si="3"/>
        <v/>
      </c>
      <c r="J204" s="3"/>
      <c r="K204" s="5" t="str">
        <f>IFERROR(Tabla347911[[#This Row],[USD]]/$B$1,"")</f>
        <v/>
      </c>
    </row>
    <row r="205" spans="4:11" ht="15.75" x14ac:dyDescent="0.25">
      <c r="D205" s="2">
        <v>204</v>
      </c>
      <c r="E205" s="6"/>
      <c r="F205" s="2"/>
      <c r="G205" s="2"/>
      <c r="H205" s="2"/>
      <c r="I205" s="2" t="str">
        <f t="shared" si="3"/>
        <v/>
      </c>
      <c r="J205" s="3"/>
      <c r="K205" s="5" t="str">
        <f>IFERROR(Tabla347911[[#This Row],[USD]]/$B$1,"")</f>
        <v/>
      </c>
    </row>
    <row r="206" spans="4:11" ht="15.75" x14ac:dyDescent="0.25">
      <c r="D206" s="2">
        <v>205</v>
      </c>
      <c r="E206" s="6"/>
      <c r="F206" s="2"/>
      <c r="G206" s="2"/>
      <c r="H206" s="2"/>
      <c r="I206" s="2" t="str">
        <f t="shared" si="3"/>
        <v/>
      </c>
      <c r="J206" s="3"/>
      <c r="K206" s="5" t="str">
        <f>IFERROR(Tabla347911[[#This Row],[USD]]/$B$1,"")</f>
        <v/>
      </c>
    </row>
    <row r="207" spans="4:11" ht="15.75" x14ac:dyDescent="0.25">
      <c r="D207" s="2">
        <v>206</v>
      </c>
      <c r="E207" s="6"/>
      <c r="F207" s="2"/>
      <c r="G207" s="2"/>
      <c r="H207" s="2"/>
      <c r="I207" s="2" t="str">
        <f t="shared" si="3"/>
        <v/>
      </c>
      <c r="J207" s="3"/>
      <c r="K207" s="5" t="str">
        <f>IFERROR(Tabla347911[[#This Row],[USD]]/$B$1,"")</f>
        <v/>
      </c>
    </row>
    <row r="208" spans="4:11" ht="15.75" x14ac:dyDescent="0.25">
      <c r="D208" s="2">
        <v>207</v>
      </c>
      <c r="E208" s="6"/>
      <c r="F208" s="2"/>
      <c r="G208" s="2"/>
      <c r="H208" s="2"/>
      <c r="I208" s="2" t="str">
        <f t="shared" si="3"/>
        <v/>
      </c>
      <c r="J208" s="3"/>
      <c r="K208" s="5" t="str">
        <f>IFERROR(Tabla347911[[#This Row],[USD]]/$B$1,"")</f>
        <v/>
      </c>
    </row>
    <row r="209" spans="4:11" ht="15.75" x14ac:dyDescent="0.25">
      <c r="D209" s="2">
        <v>208</v>
      </c>
      <c r="E209" s="6"/>
      <c r="F209" s="2"/>
      <c r="G209" s="2"/>
      <c r="H209" s="2"/>
      <c r="I209" s="2" t="str">
        <f t="shared" si="3"/>
        <v/>
      </c>
      <c r="J209" s="3"/>
      <c r="K209" s="5" t="str">
        <f>IFERROR(Tabla347911[[#This Row],[USD]]/$B$1,"")</f>
        <v/>
      </c>
    </row>
    <row r="210" spans="4:11" ht="15.75" x14ac:dyDescent="0.25">
      <c r="D210" s="2">
        <v>209</v>
      </c>
      <c r="E210" s="6"/>
      <c r="F210" s="2"/>
      <c r="G210" s="2"/>
      <c r="H210" s="2"/>
      <c r="I210" s="2" t="str">
        <f t="shared" si="3"/>
        <v/>
      </c>
      <c r="J210" s="3"/>
      <c r="K210" s="5" t="str">
        <f>IFERROR(Tabla347911[[#This Row],[USD]]/$B$1,"")</f>
        <v/>
      </c>
    </row>
    <row r="211" spans="4:11" ht="15.75" x14ac:dyDescent="0.25">
      <c r="D211" s="2">
        <v>210</v>
      </c>
      <c r="E211" s="6"/>
      <c r="F211" s="2"/>
      <c r="G211" s="2"/>
      <c r="H211" s="2"/>
      <c r="I211" s="2" t="str">
        <f t="shared" si="3"/>
        <v/>
      </c>
      <c r="J211" s="3"/>
      <c r="K211" s="5" t="str">
        <f>IFERROR(Tabla347911[[#This Row],[USD]]/$B$1,"")</f>
        <v/>
      </c>
    </row>
    <row r="212" spans="4:11" ht="15.75" x14ac:dyDescent="0.25">
      <c r="D212" s="2">
        <v>211</v>
      </c>
      <c r="E212" s="6"/>
      <c r="F212" s="2"/>
      <c r="G212" s="2"/>
      <c r="H212" s="2"/>
      <c r="I212" s="2" t="str">
        <f t="shared" si="3"/>
        <v/>
      </c>
      <c r="J212" s="3"/>
      <c r="K212" s="5" t="str">
        <f>IFERROR(Tabla347911[[#This Row],[USD]]/$B$1,"")</f>
        <v/>
      </c>
    </row>
    <row r="213" spans="4:11" ht="15.75" x14ac:dyDescent="0.25">
      <c r="D213" s="2">
        <v>212</v>
      </c>
      <c r="E213" s="6"/>
      <c r="F213" s="2"/>
      <c r="G213" s="2"/>
      <c r="H213" s="2"/>
      <c r="I213" s="2" t="str">
        <f t="shared" si="3"/>
        <v/>
      </c>
      <c r="J213" s="3"/>
      <c r="K213" s="5" t="str">
        <f>IFERROR(Tabla347911[[#This Row],[USD]]/$B$1,"")</f>
        <v/>
      </c>
    </row>
    <row r="214" spans="4:11" ht="15.75" x14ac:dyDescent="0.25">
      <c r="D214" s="2">
        <v>213</v>
      </c>
      <c r="E214" s="6"/>
      <c r="F214" s="2"/>
      <c r="G214" s="2"/>
      <c r="H214" s="2"/>
      <c r="I214" s="2" t="str">
        <f t="shared" si="3"/>
        <v/>
      </c>
      <c r="J214" s="3"/>
      <c r="K214" s="5" t="str">
        <f>IFERROR(Tabla347911[[#This Row],[USD]]/$B$1,"")</f>
        <v/>
      </c>
    </row>
    <row r="215" spans="4:11" ht="15.75" x14ac:dyDescent="0.25">
      <c r="D215" s="2">
        <v>214</v>
      </c>
      <c r="E215" s="6"/>
      <c r="F215" s="2"/>
      <c r="G215" s="2"/>
      <c r="H215" s="2"/>
      <c r="I215" s="2" t="str">
        <f t="shared" si="3"/>
        <v/>
      </c>
      <c r="J215" s="3"/>
      <c r="K215" s="5" t="str">
        <f>IFERROR(Tabla347911[[#This Row],[USD]]/$B$1,"")</f>
        <v/>
      </c>
    </row>
    <row r="216" spans="4:11" ht="15.75" x14ac:dyDescent="0.25">
      <c r="D216" s="2">
        <v>215</v>
      </c>
      <c r="E216" s="6"/>
      <c r="F216" s="2"/>
      <c r="G216" s="2"/>
      <c r="H216" s="2"/>
      <c r="I216" s="2" t="str">
        <f t="shared" si="3"/>
        <v/>
      </c>
      <c r="J216" s="3"/>
      <c r="K216" s="5" t="str">
        <f>IFERROR(Tabla347911[[#This Row],[USD]]/$B$1,"")</f>
        <v/>
      </c>
    </row>
    <row r="217" spans="4:11" ht="15.75" x14ac:dyDescent="0.25">
      <c r="D217" s="2">
        <v>216</v>
      </c>
      <c r="E217" s="6"/>
      <c r="F217" s="2"/>
      <c r="G217" s="2"/>
      <c r="H217" s="2"/>
      <c r="I217" s="2" t="str">
        <f t="shared" si="3"/>
        <v/>
      </c>
      <c r="J217" s="3"/>
      <c r="K217" s="5" t="str">
        <f>IFERROR(Tabla347911[[#This Row],[USD]]/$B$1,"")</f>
        <v/>
      </c>
    </row>
    <row r="218" spans="4:11" ht="15.75" x14ac:dyDescent="0.25">
      <c r="D218" s="2">
        <v>217</v>
      </c>
      <c r="E218" s="6"/>
      <c r="F218" s="2"/>
      <c r="G218" s="2"/>
      <c r="H218" s="2"/>
      <c r="I218" s="2" t="str">
        <f t="shared" si="3"/>
        <v/>
      </c>
      <c r="J218" s="3"/>
      <c r="K218" s="5" t="str">
        <f>IFERROR(Tabla347911[[#This Row],[USD]]/$B$1,"")</f>
        <v/>
      </c>
    </row>
    <row r="219" spans="4:11" ht="15.75" x14ac:dyDescent="0.25">
      <c r="D219" s="2">
        <v>218</v>
      </c>
      <c r="E219" s="6"/>
      <c r="F219" s="2"/>
      <c r="G219" s="2"/>
      <c r="H219" s="2"/>
      <c r="I219" s="2" t="str">
        <f t="shared" si="3"/>
        <v/>
      </c>
      <c r="J219" s="3"/>
      <c r="K219" s="5" t="str">
        <f>IFERROR(Tabla347911[[#This Row],[USD]]/$B$1,"")</f>
        <v/>
      </c>
    </row>
    <row r="220" spans="4:11" ht="15.75" x14ac:dyDescent="0.25">
      <c r="D220" s="2">
        <v>219</v>
      </c>
      <c r="E220" s="6"/>
      <c r="F220" s="2"/>
      <c r="G220" s="2"/>
      <c r="H220" s="2"/>
      <c r="I220" s="2" t="str">
        <f t="shared" si="3"/>
        <v/>
      </c>
      <c r="J220" s="3"/>
      <c r="K220" s="5" t="str">
        <f>IFERROR(Tabla347911[[#This Row],[USD]]/$B$1,"")</f>
        <v/>
      </c>
    </row>
    <row r="221" spans="4:11" ht="15.75" x14ac:dyDescent="0.25">
      <c r="D221" s="2">
        <v>220</v>
      </c>
      <c r="E221" s="6"/>
      <c r="F221" s="2"/>
      <c r="G221" s="2"/>
      <c r="H221" s="2"/>
      <c r="I221" s="2" t="str">
        <f t="shared" si="3"/>
        <v/>
      </c>
      <c r="J221" s="3"/>
      <c r="K221" s="5" t="str">
        <f>IFERROR(Tabla347911[[#This Row],[USD]]/$B$1,"")</f>
        <v/>
      </c>
    </row>
    <row r="222" spans="4:11" ht="15.75" x14ac:dyDescent="0.25">
      <c r="D222" s="2">
        <v>221</v>
      </c>
      <c r="E222" s="6"/>
      <c r="F222" s="2"/>
      <c r="G222" s="2"/>
      <c r="H222" s="2"/>
      <c r="I222" s="2" t="str">
        <f t="shared" si="3"/>
        <v/>
      </c>
      <c r="J222" s="3"/>
      <c r="K222" s="5" t="str">
        <f>IFERROR(Tabla347911[[#This Row],[USD]]/$B$1,"")</f>
        <v/>
      </c>
    </row>
    <row r="223" spans="4:11" ht="15.75" x14ac:dyDescent="0.25">
      <c r="D223" s="2">
        <v>222</v>
      </c>
      <c r="E223" s="6"/>
      <c r="F223" s="2"/>
      <c r="G223" s="2"/>
      <c r="H223" s="2"/>
      <c r="I223" s="2" t="str">
        <f t="shared" si="3"/>
        <v/>
      </c>
      <c r="J223" s="3"/>
      <c r="K223" s="5" t="str">
        <f>IFERROR(Tabla347911[[#This Row],[USD]]/$B$1,"")</f>
        <v/>
      </c>
    </row>
    <row r="224" spans="4:11" ht="15.75" x14ac:dyDescent="0.25">
      <c r="D224" s="2">
        <v>223</v>
      </c>
      <c r="E224" s="6"/>
      <c r="F224" s="2"/>
      <c r="G224" s="2"/>
      <c r="H224" s="2"/>
      <c r="I224" s="2" t="str">
        <f t="shared" si="3"/>
        <v/>
      </c>
      <c r="J224" s="3"/>
      <c r="K224" s="5" t="str">
        <f>IFERROR(Tabla347911[[#This Row],[USD]]/$B$1,"")</f>
        <v/>
      </c>
    </row>
    <row r="225" spans="4:11" ht="15.75" x14ac:dyDescent="0.25">
      <c r="D225" s="2">
        <v>224</v>
      </c>
      <c r="E225" s="6"/>
      <c r="F225" s="2"/>
      <c r="G225" s="2"/>
      <c r="H225" s="2"/>
      <c r="I225" s="2" t="str">
        <f t="shared" si="3"/>
        <v/>
      </c>
      <c r="J225" s="3"/>
      <c r="K225" s="5" t="str">
        <f>IFERROR(Tabla347911[[#This Row],[USD]]/$B$1,"")</f>
        <v/>
      </c>
    </row>
    <row r="226" spans="4:11" ht="15.75" x14ac:dyDescent="0.25">
      <c r="D226" s="2">
        <v>225</v>
      </c>
      <c r="E226" s="6"/>
      <c r="F226" s="2"/>
      <c r="G226" s="2"/>
      <c r="H226" s="2"/>
      <c r="I226" s="2" t="str">
        <f t="shared" si="3"/>
        <v/>
      </c>
      <c r="J226" s="3"/>
      <c r="K226" s="5" t="str">
        <f>IFERROR(Tabla347911[[#This Row],[USD]]/$B$1,"")</f>
        <v/>
      </c>
    </row>
    <row r="227" spans="4:11" ht="15.75" x14ac:dyDescent="0.25">
      <c r="D227" s="2">
        <v>226</v>
      </c>
      <c r="E227" s="6"/>
      <c r="F227" s="2"/>
      <c r="G227" s="2"/>
      <c r="H227" s="2"/>
      <c r="I227" s="2" t="str">
        <f t="shared" si="3"/>
        <v/>
      </c>
      <c r="J227" s="3"/>
      <c r="K227" s="5" t="str">
        <f>IFERROR(Tabla347911[[#This Row],[USD]]/$B$1,"")</f>
        <v/>
      </c>
    </row>
    <row r="228" spans="4:11" ht="15.75" x14ac:dyDescent="0.25">
      <c r="D228" s="2">
        <v>227</v>
      </c>
      <c r="E228" s="6"/>
      <c r="F228" s="2"/>
      <c r="G228" s="2"/>
      <c r="H228" s="2"/>
      <c r="I228" s="2" t="str">
        <f t="shared" si="3"/>
        <v/>
      </c>
      <c r="J228" s="3"/>
      <c r="K228" s="5" t="str">
        <f>IFERROR(Tabla347911[[#This Row],[USD]]/$B$1,"")</f>
        <v/>
      </c>
    </row>
    <row r="229" spans="4:11" ht="15.75" x14ac:dyDescent="0.25">
      <c r="D229" s="2">
        <v>228</v>
      </c>
      <c r="E229" s="6"/>
      <c r="F229" s="2"/>
      <c r="G229" s="2"/>
      <c r="H229" s="2"/>
      <c r="I229" s="2" t="str">
        <f t="shared" si="3"/>
        <v/>
      </c>
      <c r="J229" s="3"/>
      <c r="K229" s="5" t="str">
        <f>IFERROR(Tabla347911[[#This Row],[USD]]/$B$1,"")</f>
        <v/>
      </c>
    </row>
    <row r="230" spans="4:11" ht="15.75" x14ac:dyDescent="0.25">
      <c r="D230" s="2">
        <v>229</v>
      </c>
      <c r="E230" s="6"/>
      <c r="F230" s="2"/>
      <c r="G230" s="2"/>
      <c r="H230" s="2"/>
      <c r="I230" s="2" t="str">
        <f t="shared" si="3"/>
        <v/>
      </c>
      <c r="J230" s="3"/>
      <c r="K230" s="5" t="str">
        <f>IFERROR(Tabla347911[[#This Row],[USD]]/$B$1,"")</f>
        <v/>
      </c>
    </row>
    <row r="231" spans="4:11" ht="15.75" x14ac:dyDescent="0.25">
      <c r="D231" s="2">
        <v>230</v>
      </c>
      <c r="E231" s="6"/>
      <c r="F231" s="2"/>
      <c r="G231" s="2"/>
      <c r="H231" s="2"/>
      <c r="I231" s="2" t="str">
        <f t="shared" si="3"/>
        <v/>
      </c>
      <c r="J231" s="3"/>
      <c r="K231" s="5" t="str">
        <f>IFERROR(Tabla347911[[#This Row],[USD]]/$B$1,"")</f>
        <v/>
      </c>
    </row>
    <row r="232" spans="4:11" ht="15.75" x14ac:dyDescent="0.25">
      <c r="D232" s="2">
        <v>231</v>
      </c>
      <c r="E232" s="6"/>
      <c r="F232" s="2"/>
      <c r="G232" s="2"/>
      <c r="H232" s="2"/>
      <c r="I232" s="2" t="str">
        <f t="shared" si="3"/>
        <v/>
      </c>
      <c r="J232" s="3"/>
      <c r="K232" s="5" t="str">
        <f>IFERROR(Tabla347911[[#This Row],[USD]]/$B$1,"")</f>
        <v/>
      </c>
    </row>
    <row r="233" spans="4:11" ht="15.75" x14ac:dyDescent="0.25">
      <c r="D233" s="2">
        <v>232</v>
      </c>
      <c r="E233" s="6"/>
      <c r="F233" s="2"/>
      <c r="G233" s="2"/>
      <c r="H233" s="2"/>
      <c r="I233" s="2" t="str">
        <f t="shared" si="3"/>
        <v/>
      </c>
      <c r="J233" s="3"/>
      <c r="K233" s="5" t="str">
        <f>IFERROR(Tabla347911[[#This Row],[USD]]/$B$1,"")</f>
        <v/>
      </c>
    </row>
    <row r="234" spans="4:11" ht="15.75" x14ac:dyDescent="0.25">
      <c r="D234" s="2">
        <v>233</v>
      </c>
      <c r="E234" s="6"/>
      <c r="F234" s="2"/>
      <c r="G234" s="2"/>
      <c r="H234" s="2"/>
      <c r="I234" s="2" t="str">
        <f t="shared" si="3"/>
        <v/>
      </c>
      <c r="J234" s="3"/>
      <c r="K234" s="5" t="str">
        <f>IFERROR(Tabla347911[[#This Row],[USD]]/$B$1,"")</f>
        <v/>
      </c>
    </row>
    <row r="235" spans="4:11" ht="15.75" x14ac:dyDescent="0.25">
      <c r="D235" s="2">
        <v>234</v>
      </c>
      <c r="E235" s="6"/>
      <c r="F235" s="2"/>
      <c r="G235" s="2"/>
      <c r="H235" s="2"/>
      <c r="I235" s="2" t="str">
        <f t="shared" si="3"/>
        <v/>
      </c>
      <c r="J235" s="3"/>
      <c r="K235" s="5" t="str">
        <f>IFERROR(Tabla347911[[#This Row],[USD]]/$B$1,"")</f>
        <v/>
      </c>
    </row>
    <row r="236" spans="4:11" ht="15.75" x14ac:dyDescent="0.25">
      <c r="D236" s="2">
        <v>235</v>
      </c>
      <c r="E236" s="6"/>
      <c r="F236" s="2"/>
      <c r="G236" s="2"/>
      <c r="H236" s="2"/>
      <c r="I236" s="2" t="str">
        <f t="shared" si="3"/>
        <v/>
      </c>
      <c r="J236" s="3"/>
      <c r="K236" s="5" t="str">
        <f>IFERROR(Tabla347911[[#This Row],[USD]]/$B$1,"")</f>
        <v/>
      </c>
    </row>
    <row r="237" spans="4:11" ht="15.75" x14ac:dyDescent="0.25">
      <c r="D237" s="2">
        <v>236</v>
      </c>
      <c r="E237" s="6"/>
      <c r="F237" s="2"/>
      <c r="G237" s="2"/>
      <c r="H237" s="2"/>
      <c r="I237" s="2" t="str">
        <f t="shared" si="3"/>
        <v/>
      </c>
      <c r="J237" s="3"/>
      <c r="K237" s="5" t="str">
        <f>IFERROR(Tabla347911[[#This Row],[USD]]/$B$1,"")</f>
        <v/>
      </c>
    </row>
    <row r="238" spans="4:11" ht="15.75" x14ac:dyDescent="0.25">
      <c r="D238" s="2">
        <v>237</v>
      </c>
      <c r="E238" s="6"/>
      <c r="F238" s="2"/>
      <c r="G238" s="2"/>
      <c r="H238" s="2"/>
      <c r="I238" s="2" t="str">
        <f t="shared" si="3"/>
        <v/>
      </c>
      <c r="J238" s="3"/>
      <c r="K238" s="5" t="str">
        <f>IFERROR(Tabla347911[[#This Row],[USD]]/$B$1,"")</f>
        <v/>
      </c>
    </row>
    <row r="239" spans="4:11" ht="15.75" x14ac:dyDescent="0.25">
      <c r="D239" s="2">
        <v>238</v>
      </c>
      <c r="E239" s="6"/>
      <c r="F239" s="2"/>
      <c r="G239" s="2"/>
      <c r="H239" s="2"/>
      <c r="I239" s="2" t="str">
        <f t="shared" si="3"/>
        <v/>
      </c>
      <c r="J239" s="3"/>
      <c r="K239" s="5" t="str">
        <f>IFERROR(Tabla347911[[#This Row],[USD]]/$B$1,"")</f>
        <v/>
      </c>
    </row>
    <row r="240" spans="4:11" ht="15.75" x14ac:dyDescent="0.25">
      <c r="D240" s="2">
        <v>239</v>
      </c>
      <c r="E240" s="6"/>
      <c r="F240" s="2"/>
      <c r="G240" s="2"/>
      <c r="H240" s="2"/>
      <c r="I240" s="2" t="str">
        <f t="shared" si="3"/>
        <v/>
      </c>
      <c r="J240" s="3"/>
      <c r="K240" s="5" t="str">
        <f>IFERROR(Tabla347911[[#This Row],[USD]]/$B$1,"")</f>
        <v/>
      </c>
    </row>
    <row r="241" spans="4:11" ht="15.75" x14ac:dyDescent="0.25">
      <c r="D241" s="2">
        <v>240</v>
      </c>
      <c r="E241" s="6"/>
      <c r="F241" s="2"/>
      <c r="G241" s="2"/>
      <c r="H241" s="2"/>
      <c r="I241" s="2" t="str">
        <f t="shared" si="3"/>
        <v/>
      </c>
      <c r="J241" s="3"/>
      <c r="K241" s="5" t="str">
        <f>IFERROR(Tabla347911[[#This Row],[USD]]/$B$1,"")</f>
        <v/>
      </c>
    </row>
    <row r="242" spans="4:11" ht="15.75" x14ac:dyDescent="0.25">
      <c r="D242" s="2">
        <v>241</v>
      </c>
      <c r="E242" s="6"/>
      <c r="F242" s="2"/>
      <c r="G242" s="2"/>
      <c r="H242" s="2"/>
      <c r="I242" s="2" t="str">
        <f t="shared" si="3"/>
        <v/>
      </c>
      <c r="J242" s="3"/>
      <c r="K242" s="5" t="str">
        <f>IFERROR(Tabla347911[[#This Row],[USD]]/$B$1,"")</f>
        <v/>
      </c>
    </row>
    <row r="243" spans="4:11" ht="15.75" x14ac:dyDescent="0.25">
      <c r="D243" s="2">
        <v>242</v>
      </c>
      <c r="E243" s="6"/>
      <c r="F243" s="2"/>
      <c r="G243" s="2"/>
      <c r="H243" s="2"/>
      <c r="I243" s="2" t="str">
        <f t="shared" si="3"/>
        <v/>
      </c>
      <c r="J243" s="3"/>
      <c r="K243" s="5" t="str">
        <f>IFERROR(Tabla347911[[#This Row],[USD]]/$B$1,"")</f>
        <v/>
      </c>
    </row>
    <row r="244" spans="4:11" ht="15.75" x14ac:dyDescent="0.25">
      <c r="D244" s="2">
        <v>243</v>
      </c>
      <c r="E244" s="6"/>
      <c r="F244" s="2"/>
      <c r="G244" s="2"/>
      <c r="H244" s="2"/>
      <c r="I244" s="2" t="str">
        <f t="shared" si="3"/>
        <v/>
      </c>
      <c r="J244" s="3"/>
      <c r="K244" s="5" t="str">
        <f>IFERROR(Tabla347911[[#This Row],[USD]]/$B$1,"")</f>
        <v/>
      </c>
    </row>
    <row r="245" spans="4:11" ht="15.75" x14ac:dyDescent="0.25">
      <c r="D245" s="2">
        <v>244</v>
      </c>
      <c r="E245" s="6"/>
      <c r="F245" s="2"/>
      <c r="G245" s="2"/>
      <c r="H245" s="2"/>
      <c r="I245" s="2" t="str">
        <f t="shared" si="3"/>
        <v/>
      </c>
      <c r="J245" s="3"/>
      <c r="K245" s="5" t="str">
        <f>IFERROR(Tabla347911[[#This Row],[USD]]/$B$1,"")</f>
        <v/>
      </c>
    </row>
    <row r="246" spans="4:11" ht="15.75" x14ac:dyDescent="0.25">
      <c r="D246" s="2">
        <v>245</v>
      </c>
      <c r="E246" s="6"/>
      <c r="F246" s="2"/>
      <c r="G246" s="2"/>
      <c r="H246" s="2"/>
      <c r="I246" s="2" t="str">
        <f t="shared" si="3"/>
        <v/>
      </c>
      <c r="J246" s="3"/>
      <c r="K246" s="5" t="str">
        <f>IFERROR(Tabla347911[[#This Row],[USD]]/$B$1,"")</f>
        <v/>
      </c>
    </row>
    <row r="247" spans="4:11" ht="15.75" x14ac:dyDescent="0.25">
      <c r="D247" s="2">
        <v>246</v>
      </c>
      <c r="E247" s="6"/>
      <c r="F247" s="2"/>
      <c r="G247" s="2"/>
      <c r="H247" s="2"/>
      <c r="I247" s="2" t="str">
        <f t="shared" si="3"/>
        <v/>
      </c>
      <c r="J247" s="3"/>
      <c r="K247" s="5" t="str">
        <f>IFERROR(Tabla347911[[#This Row],[USD]]/$B$1,"")</f>
        <v/>
      </c>
    </row>
    <row r="248" spans="4:11" ht="15.75" x14ac:dyDescent="0.25">
      <c r="D248" s="2">
        <v>247</v>
      </c>
      <c r="E248" s="6"/>
      <c r="F248" s="2"/>
      <c r="G248" s="2"/>
      <c r="H248" s="2"/>
      <c r="I248" s="2" t="str">
        <f t="shared" si="3"/>
        <v/>
      </c>
      <c r="J248" s="3"/>
      <c r="K248" s="5" t="str">
        <f>IFERROR(Tabla347911[[#This Row],[USD]]/$B$1,"")</f>
        <v/>
      </c>
    </row>
    <row r="249" spans="4:11" ht="15.75" x14ac:dyDescent="0.25">
      <c r="D249" s="2">
        <v>248</v>
      </c>
      <c r="E249" s="6"/>
      <c r="F249" s="2"/>
      <c r="G249" s="2"/>
      <c r="H249" s="2"/>
      <c r="I249" s="2" t="str">
        <f t="shared" si="3"/>
        <v/>
      </c>
      <c r="J249" s="3"/>
      <c r="K249" s="5" t="str">
        <f>IFERROR(Tabla347911[[#This Row],[USD]]/$B$1,"")</f>
        <v/>
      </c>
    </row>
    <row r="250" spans="4:11" ht="15.75" x14ac:dyDescent="0.25">
      <c r="D250" s="2">
        <v>249</v>
      </c>
      <c r="E250" s="6"/>
      <c r="F250" s="2"/>
      <c r="G250" s="2"/>
      <c r="H250" s="2"/>
      <c r="I250" s="2" t="str">
        <f t="shared" si="3"/>
        <v/>
      </c>
      <c r="J250" s="3"/>
      <c r="K250" s="5" t="str">
        <f>IFERROR(Tabla347911[[#This Row],[USD]]/$B$1,"")</f>
        <v/>
      </c>
    </row>
    <row r="251" spans="4:11" ht="15.75" x14ac:dyDescent="0.25">
      <c r="D251" s="2">
        <v>250</v>
      </c>
      <c r="E251" s="6"/>
      <c r="F251" s="2"/>
      <c r="G251" s="2"/>
      <c r="H251" s="2"/>
      <c r="I251" s="2" t="str">
        <f t="shared" si="3"/>
        <v/>
      </c>
      <c r="J251" s="3"/>
      <c r="K251" s="5" t="str">
        <f>IFERROR(Tabla347911[[#This Row],[USD]]/$B$1,"")</f>
        <v/>
      </c>
    </row>
    <row r="252" spans="4:11" ht="15.75" x14ac:dyDescent="0.25">
      <c r="D252" s="2">
        <v>251</v>
      </c>
      <c r="E252" s="6"/>
      <c r="F252" s="2"/>
      <c r="G252" s="2"/>
      <c r="H252" s="2"/>
      <c r="I252" s="2" t="str">
        <f t="shared" si="3"/>
        <v/>
      </c>
      <c r="J252" s="3"/>
      <c r="K252" s="5" t="str">
        <f>IFERROR(Tabla347911[[#This Row],[USD]]/$B$1,"")</f>
        <v/>
      </c>
    </row>
    <row r="253" spans="4:11" ht="15.75" x14ac:dyDescent="0.25">
      <c r="D253" s="2">
        <v>252</v>
      </c>
      <c r="E253" s="6"/>
      <c r="F253" s="2"/>
      <c r="G253" s="2"/>
      <c r="H253" s="2"/>
      <c r="I253" s="2" t="str">
        <f t="shared" si="3"/>
        <v/>
      </c>
      <c r="J253" s="3"/>
      <c r="K253" s="5" t="str">
        <f>IFERROR(Tabla347911[[#This Row],[USD]]/$B$1,"")</f>
        <v/>
      </c>
    </row>
    <row r="254" spans="4:11" ht="15.75" x14ac:dyDescent="0.25">
      <c r="D254" s="2">
        <v>253</v>
      </c>
      <c r="E254" s="6"/>
      <c r="F254" s="2"/>
      <c r="G254" s="2"/>
      <c r="H254" s="2"/>
      <c r="I254" s="2" t="str">
        <f t="shared" si="3"/>
        <v/>
      </c>
      <c r="J254" s="3"/>
      <c r="K254" s="5" t="str">
        <f>IFERROR(Tabla347911[[#This Row],[USD]]/$B$1,"")</f>
        <v/>
      </c>
    </row>
    <row r="255" spans="4:11" ht="15.75" x14ac:dyDescent="0.25">
      <c r="D255" s="2">
        <v>254</v>
      </c>
      <c r="E255" s="6"/>
      <c r="F255" s="2"/>
      <c r="G255" s="2"/>
      <c r="H255" s="2"/>
      <c r="I255" s="2" t="str">
        <f t="shared" si="3"/>
        <v/>
      </c>
      <c r="J255" s="3"/>
      <c r="K255" s="5" t="str">
        <f>IFERROR(Tabla347911[[#This Row],[USD]]/$B$1,"")</f>
        <v/>
      </c>
    </row>
    <row r="256" spans="4:11" ht="15.75" x14ac:dyDescent="0.25">
      <c r="D256" s="2">
        <v>255</v>
      </c>
      <c r="E256" s="6"/>
      <c r="F256" s="2"/>
      <c r="G256" s="2"/>
      <c r="H256" s="2"/>
      <c r="I256" s="2" t="str">
        <f t="shared" si="3"/>
        <v/>
      </c>
      <c r="J256" s="3"/>
      <c r="K256" s="5" t="str">
        <f>IFERROR(Tabla347911[[#This Row],[USD]]/$B$1,"")</f>
        <v/>
      </c>
    </row>
    <row r="257" spans="4:11" ht="15.75" x14ac:dyDescent="0.25">
      <c r="D257" s="2">
        <v>256</v>
      </c>
      <c r="E257" s="6"/>
      <c r="F257" s="2"/>
      <c r="G257" s="2"/>
      <c r="H257" s="2"/>
      <c r="I257" s="2" t="str">
        <f t="shared" si="3"/>
        <v/>
      </c>
      <c r="J257" s="3"/>
      <c r="K257" s="5" t="str">
        <f>IFERROR(Tabla347911[[#This Row],[USD]]/$B$1,"")</f>
        <v/>
      </c>
    </row>
    <row r="258" spans="4:11" ht="15.75" x14ac:dyDescent="0.25">
      <c r="D258" s="2">
        <v>257</v>
      </c>
      <c r="E258" s="6"/>
      <c r="F258" s="2"/>
      <c r="G258" s="2"/>
      <c r="H258" s="2"/>
      <c r="I258" s="2" t="str">
        <f t="shared" si="3"/>
        <v/>
      </c>
      <c r="J258" s="3"/>
      <c r="K258" s="5" t="str">
        <f>IFERROR(Tabla347911[[#This Row],[USD]]/$B$1,"")</f>
        <v/>
      </c>
    </row>
    <row r="259" spans="4:11" ht="15.75" x14ac:dyDescent="0.25">
      <c r="D259" s="2">
        <v>258</v>
      </c>
      <c r="E259" s="6"/>
      <c r="F259" s="2"/>
      <c r="G259" s="2"/>
      <c r="H259" s="2"/>
      <c r="I259" s="2" t="str">
        <f t="shared" ref="I259:I301" si="4">IF(J259="","",IF(J259&gt;3,"Ganado",IF(J259&lt;-3,"Perdido","Break Even")))</f>
        <v/>
      </c>
      <c r="J259" s="3"/>
      <c r="K259" s="5" t="str">
        <f>IFERROR(Tabla347911[[#This Row],[USD]]/$B$1,"")</f>
        <v/>
      </c>
    </row>
    <row r="260" spans="4:11" ht="15.75" x14ac:dyDescent="0.25">
      <c r="D260" s="2">
        <v>259</v>
      </c>
      <c r="E260" s="6"/>
      <c r="F260" s="2"/>
      <c r="G260" s="2"/>
      <c r="H260" s="2"/>
      <c r="I260" s="2" t="str">
        <f t="shared" si="4"/>
        <v/>
      </c>
      <c r="J260" s="3"/>
      <c r="K260" s="5" t="str">
        <f>IFERROR(Tabla347911[[#This Row],[USD]]/$B$1,"")</f>
        <v/>
      </c>
    </row>
    <row r="261" spans="4:11" ht="15.75" x14ac:dyDescent="0.25">
      <c r="D261" s="2">
        <v>260</v>
      </c>
      <c r="E261" s="6"/>
      <c r="F261" s="2"/>
      <c r="G261" s="2"/>
      <c r="H261" s="2"/>
      <c r="I261" s="2" t="str">
        <f t="shared" si="4"/>
        <v/>
      </c>
      <c r="J261" s="3"/>
      <c r="K261" s="5" t="str">
        <f>IFERROR(Tabla347911[[#This Row],[USD]]/$B$1,"")</f>
        <v/>
      </c>
    </row>
    <row r="262" spans="4:11" ht="15.75" x14ac:dyDescent="0.25">
      <c r="D262" s="2">
        <v>261</v>
      </c>
      <c r="E262" s="6"/>
      <c r="F262" s="2"/>
      <c r="G262" s="2"/>
      <c r="H262" s="2"/>
      <c r="I262" s="2" t="str">
        <f t="shared" si="4"/>
        <v/>
      </c>
      <c r="J262" s="3"/>
      <c r="K262" s="5" t="str">
        <f>IFERROR(Tabla347911[[#This Row],[USD]]/$B$1,"")</f>
        <v/>
      </c>
    </row>
    <row r="263" spans="4:11" ht="15.75" x14ac:dyDescent="0.25">
      <c r="D263" s="2">
        <v>262</v>
      </c>
      <c r="E263" s="6"/>
      <c r="F263" s="2"/>
      <c r="G263" s="2"/>
      <c r="H263" s="2"/>
      <c r="I263" s="2" t="str">
        <f t="shared" si="4"/>
        <v/>
      </c>
      <c r="J263" s="3"/>
      <c r="K263" s="5" t="str">
        <f>IFERROR(Tabla347911[[#This Row],[USD]]/$B$1,"")</f>
        <v/>
      </c>
    </row>
    <row r="264" spans="4:11" ht="15.75" x14ac:dyDescent="0.25">
      <c r="D264" s="2">
        <v>263</v>
      </c>
      <c r="E264" s="6"/>
      <c r="F264" s="2"/>
      <c r="G264" s="2"/>
      <c r="H264" s="2"/>
      <c r="I264" s="2" t="str">
        <f t="shared" si="4"/>
        <v/>
      </c>
      <c r="J264" s="3"/>
      <c r="K264" s="5" t="str">
        <f>IFERROR(Tabla347911[[#This Row],[USD]]/$B$1,"")</f>
        <v/>
      </c>
    </row>
    <row r="265" spans="4:11" ht="15.75" x14ac:dyDescent="0.25">
      <c r="D265" s="2">
        <v>264</v>
      </c>
      <c r="E265" s="6"/>
      <c r="F265" s="2"/>
      <c r="G265" s="2"/>
      <c r="H265" s="2"/>
      <c r="I265" s="2" t="str">
        <f t="shared" si="4"/>
        <v/>
      </c>
      <c r="J265" s="3"/>
      <c r="K265" s="5" t="str">
        <f>IFERROR(Tabla347911[[#This Row],[USD]]/$B$1,"")</f>
        <v/>
      </c>
    </row>
    <row r="266" spans="4:11" ht="15.75" x14ac:dyDescent="0.25">
      <c r="D266" s="2">
        <v>265</v>
      </c>
      <c r="E266" s="6"/>
      <c r="F266" s="2"/>
      <c r="G266" s="2"/>
      <c r="H266" s="2"/>
      <c r="I266" s="2" t="str">
        <f t="shared" si="4"/>
        <v/>
      </c>
      <c r="J266" s="3"/>
      <c r="K266" s="5" t="str">
        <f>IFERROR(Tabla347911[[#This Row],[USD]]/$B$1,"")</f>
        <v/>
      </c>
    </row>
    <row r="267" spans="4:11" ht="15.75" x14ac:dyDescent="0.25">
      <c r="D267" s="2">
        <v>266</v>
      </c>
      <c r="E267" s="6"/>
      <c r="F267" s="2"/>
      <c r="G267" s="2"/>
      <c r="H267" s="2"/>
      <c r="I267" s="2" t="str">
        <f t="shared" si="4"/>
        <v/>
      </c>
      <c r="J267" s="3"/>
      <c r="K267" s="5" t="str">
        <f>IFERROR(Tabla347911[[#This Row],[USD]]/$B$1,"")</f>
        <v/>
      </c>
    </row>
    <row r="268" spans="4:11" ht="15.75" x14ac:dyDescent="0.25">
      <c r="D268" s="2">
        <v>267</v>
      </c>
      <c r="E268" s="6"/>
      <c r="F268" s="2"/>
      <c r="G268" s="2"/>
      <c r="H268" s="2"/>
      <c r="I268" s="2" t="str">
        <f t="shared" si="4"/>
        <v/>
      </c>
      <c r="J268" s="3"/>
      <c r="K268" s="5" t="str">
        <f>IFERROR(Tabla347911[[#This Row],[USD]]/$B$1,"")</f>
        <v/>
      </c>
    </row>
    <row r="269" spans="4:11" ht="15.75" x14ac:dyDescent="0.25">
      <c r="D269" s="2">
        <v>268</v>
      </c>
      <c r="E269" s="6"/>
      <c r="F269" s="2"/>
      <c r="G269" s="2"/>
      <c r="H269" s="2"/>
      <c r="I269" s="2" t="str">
        <f t="shared" si="4"/>
        <v/>
      </c>
      <c r="J269" s="3"/>
      <c r="K269" s="5" t="str">
        <f>IFERROR(Tabla347911[[#This Row],[USD]]/$B$1,"")</f>
        <v/>
      </c>
    </row>
    <row r="270" spans="4:11" ht="15.75" x14ac:dyDescent="0.25">
      <c r="D270" s="2">
        <v>269</v>
      </c>
      <c r="E270" s="6"/>
      <c r="F270" s="2"/>
      <c r="G270" s="2"/>
      <c r="H270" s="2"/>
      <c r="I270" s="2" t="str">
        <f t="shared" si="4"/>
        <v/>
      </c>
      <c r="J270" s="3"/>
      <c r="K270" s="5" t="str">
        <f>IFERROR(Tabla347911[[#This Row],[USD]]/$B$1,"")</f>
        <v/>
      </c>
    </row>
    <row r="271" spans="4:11" ht="15.75" x14ac:dyDescent="0.25">
      <c r="D271" s="2">
        <v>270</v>
      </c>
      <c r="E271" s="6"/>
      <c r="F271" s="2"/>
      <c r="G271" s="2"/>
      <c r="H271" s="2"/>
      <c r="I271" s="2" t="str">
        <f t="shared" si="4"/>
        <v/>
      </c>
      <c r="J271" s="3"/>
      <c r="K271" s="5" t="str">
        <f>IFERROR(Tabla347911[[#This Row],[USD]]/$B$1,"")</f>
        <v/>
      </c>
    </row>
    <row r="272" spans="4:11" ht="15.75" x14ac:dyDescent="0.25">
      <c r="D272" s="2">
        <v>271</v>
      </c>
      <c r="E272" s="6"/>
      <c r="F272" s="2"/>
      <c r="G272" s="2"/>
      <c r="H272" s="2"/>
      <c r="I272" s="2" t="str">
        <f t="shared" si="4"/>
        <v/>
      </c>
      <c r="J272" s="3"/>
      <c r="K272" s="5" t="str">
        <f>IFERROR(Tabla347911[[#This Row],[USD]]/$B$1,"")</f>
        <v/>
      </c>
    </row>
    <row r="273" spans="4:11" ht="15.75" x14ac:dyDescent="0.25">
      <c r="D273" s="2">
        <v>272</v>
      </c>
      <c r="E273" s="6"/>
      <c r="F273" s="2"/>
      <c r="G273" s="2"/>
      <c r="H273" s="2"/>
      <c r="I273" s="2" t="str">
        <f t="shared" si="4"/>
        <v/>
      </c>
      <c r="J273" s="3"/>
      <c r="K273" s="5" t="str">
        <f>IFERROR(Tabla347911[[#This Row],[USD]]/$B$1,"")</f>
        <v/>
      </c>
    </row>
    <row r="274" spans="4:11" ht="15.75" x14ac:dyDescent="0.25">
      <c r="D274" s="2">
        <v>273</v>
      </c>
      <c r="E274" s="6"/>
      <c r="F274" s="2"/>
      <c r="G274" s="2"/>
      <c r="H274" s="2"/>
      <c r="I274" s="2" t="str">
        <f t="shared" si="4"/>
        <v/>
      </c>
      <c r="J274" s="3"/>
      <c r="K274" s="5" t="str">
        <f>IFERROR(Tabla347911[[#This Row],[USD]]/$B$1,"")</f>
        <v/>
      </c>
    </row>
    <row r="275" spans="4:11" ht="15.75" x14ac:dyDescent="0.25">
      <c r="D275" s="2">
        <v>274</v>
      </c>
      <c r="E275" s="6"/>
      <c r="F275" s="2"/>
      <c r="G275" s="2"/>
      <c r="H275" s="2"/>
      <c r="I275" s="2" t="str">
        <f t="shared" si="4"/>
        <v/>
      </c>
      <c r="J275" s="3"/>
      <c r="K275" s="5" t="str">
        <f>IFERROR(Tabla347911[[#This Row],[USD]]/$B$1,"")</f>
        <v/>
      </c>
    </row>
    <row r="276" spans="4:11" ht="15.75" x14ac:dyDescent="0.25">
      <c r="D276" s="2">
        <v>275</v>
      </c>
      <c r="E276" s="6"/>
      <c r="F276" s="2"/>
      <c r="G276" s="2"/>
      <c r="H276" s="2"/>
      <c r="I276" s="2" t="str">
        <f t="shared" si="4"/>
        <v/>
      </c>
      <c r="J276" s="3"/>
      <c r="K276" s="5" t="str">
        <f>IFERROR(Tabla347911[[#This Row],[USD]]/$B$1,"")</f>
        <v/>
      </c>
    </row>
    <row r="277" spans="4:11" ht="15.75" x14ac:dyDescent="0.25">
      <c r="D277" s="2">
        <v>276</v>
      </c>
      <c r="E277" s="6"/>
      <c r="F277" s="2"/>
      <c r="G277" s="2"/>
      <c r="H277" s="2"/>
      <c r="I277" s="2" t="str">
        <f t="shared" si="4"/>
        <v/>
      </c>
      <c r="J277" s="3"/>
      <c r="K277" s="5" t="str">
        <f>IFERROR(Tabla347911[[#This Row],[USD]]/$B$1,"")</f>
        <v/>
      </c>
    </row>
    <row r="278" spans="4:11" ht="15.75" x14ac:dyDescent="0.25">
      <c r="D278" s="2">
        <v>277</v>
      </c>
      <c r="E278" s="6"/>
      <c r="F278" s="2"/>
      <c r="G278" s="2"/>
      <c r="H278" s="2"/>
      <c r="I278" s="2" t="str">
        <f t="shared" si="4"/>
        <v/>
      </c>
      <c r="J278" s="3"/>
      <c r="K278" s="5" t="str">
        <f>IFERROR(Tabla347911[[#This Row],[USD]]/$B$1,"")</f>
        <v/>
      </c>
    </row>
    <row r="279" spans="4:11" ht="15.75" x14ac:dyDescent="0.25">
      <c r="D279" s="2">
        <v>278</v>
      </c>
      <c r="E279" s="6"/>
      <c r="F279" s="2"/>
      <c r="G279" s="2"/>
      <c r="H279" s="2"/>
      <c r="I279" s="2" t="str">
        <f t="shared" si="4"/>
        <v/>
      </c>
      <c r="J279" s="3"/>
      <c r="K279" s="5" t="str">
        <f>IFERROR(Tabla347911[[#This Row],[USD]]/$B$1,"")</f>
        <v/>
      </c>
    </row>
    <row r="280" spans="4:11" ht="15.75" x14ac:dyDescent="0.25">
      <c r="D280" s="2">
        <v>279</v>
      </c>
      <c r="E280" s="6"/>
      <c r="F280" s="2"/>
      <c r="G280" s="2"/>
      <c r="H280" s="2"/>
      <c r="I280" s="2" t="str">
        <f t="shared" si="4"/>
        <v/>
      </c>
      <c r="J280" s="3"/>
      <c r="K280" s="5" t="str">
        <f>IFERROR(Tabla347911[[#This Row],[USD]]/$B$1,"")</f>
        <v/>
      </c>
    </row>
    <row r="281" spans="4:11" ht="15.75" x14ac:dyDescent="0.25">
      <c r="D281" s="2">
        <v>280</v>
      </c>
      <c r="E281" s="6"/>
      <c r="F281" s="2"/>
      <c r="G281" s="2"/>
      <c r="H281" s="2"/>
      <c r="I281" s="2" t="str">
        <f t="shared" si="4"/>
        <v/>
      </c>
      <c r="J281" s="3"/>
      <c r="K281" s="5" t="str">
        <f>IFERROR(Tabla347911[[#This Row],[USD]]/$B$1,"")</f>
        <v/>
      </c>
    </row>
    <row r="282" spans="4:11" ht="15.75" x14ac:dyDescent="0.25">
      <c r="D282" s="2">
        <v>281</v>
      </c>
      <c r="E282" s="6"/>
      <c r="F282" s="2"/>
      <c r="G282" s="2"/>
      <c r="H282" s="2"/>
      <c r="I282" s="2" t="str">
        <f t="shared" si="4"/>
        <v/>
      </c>
      <c r="J282" s="3"/>
      <c r="K282" s="5" t="str">
        <f>IFERROR(Tabla347911[[#This Row],[USD]]/$B$1,"")</f>
        <v/>
      </c>
    </row>
    <row r="283" spans="4:11" ht="15.75" x14ac:dyDescent="0.25">
      <c r="D283" s="2">
        <v>282</v>
      </c>
      <c r="E283" s="6"/>
      <c r="F283" s="2"/>
      <c r="G283" s="2"/>
      <c r="H283" s="2"/>
      <c r="I283" s="2" t="str">
        <f t="shared" si="4"/>
        <v/>
      </c>
      <c r="J283" s="3"/>
      <c r="K283" s="5" t="str">
        <f>IFERROR(Tabla347911[[#This Row],[USD]]/$B$1,"")</f>
        <v/>
      </c>
    </row>
    <row r="284" spans="4:11" ht="15.75" x14ac:dyDescent="0.25">
      <c r="D284" s="2">
        <v>283</v>
      </c>
      <c r="E284" s="6"/>
      <c r="F284" s="2"/>
      <c r="G284" s="2"/>
      <c r="H284" s="2"/>
      <c r="I284" s="2" t="str">
        <f t="shared" si="4"/>
        <v/>
      </c>
      <c r="J284" s="3"/>
      <c r="K284" s="5" t="str">
        <f>IFERROR(Tabla347911[[#This Row],[USD]]/$B$1,"")</f>
        <v/>
      </c>
    </row>
    <row r="285" spans="4:11" ht="15.75" x14ac:dyDescent="0.25">
      <c r="D285" s="2">
        <v>284</v>
      </c>
      <c r="E285" s="6"/>
      <c r="F285" s="2"/>
      <c r="G285" s="2"/>
      <c r="H285" s="2"/>
      <c r="I285" s="2" t="str">
        <f t="shared" si="4"/>
        <v/>
      </c>
      <c r="J285" s="3"/>
      <c r="K285" s="5" t="str">
        <f>IFERROR(Tabla347911[[#This Row],[USD]]/$B$1,"")</f>
        <v/>
      </c>
    </row>
    <row r="286" spans="4:11" ht="15.75" x14ac:dyDescent="0.25">
      <c r="D286" s="2">
        <v>285</v>
      </c>
      <c r="E286" s="6"/>
      <c r="F286" s="2"/>
      <c r="G286" s="2"/>
      <c r="H286" s="2"/>
      <c r="I286" s="2" t="str">
        <f t="shared" si="4"/>
        <v/>
      </c>
      <c r="J286" s="3"/>
      <c r="K286" s="5" t="str">
        <f>IFERROR(Tabla347911[[#This Row],[USD]]/$B$1,"")</f>
        <v/>
      </c>
    </row>
    <row r="287" spans="4:11" ht="15.75" x14ac:dyDescent="0.25">
      <c r="D287" s="2">
        <v>286</v>
      </c>
      <c r="E287" s="2"/>
      <c r="F287" s="2"/>
      <c r="G287" s="2"/>
      <c r="H287" s="2"/>
      <c r="I287" s="2" t="str">
        <f t="shared" si="4"/>
        <v/>
      </c>
      <c r="J287" s="3"/>
      <c r="K287" s="5" t="str">
        <f>IFERROR(Tabla347911[[#This Row],[USD]]/$B$1,"")</f>
        <v/>
      </c>
    </row>
    <row r="288" spans="4:11" ht="15.75" x14ac:dyDescent="0.25">
      <c r="D288" s="2">
        <v>287</v>
      </c>
      <c r="E288" s="2"/>
      <c r="F288" s="2"/>
      <c r="G288" s="2"/>
      <c r="H288" s="2"/>
      <c r="I288" s="2" t="str">
        <f t="shared" si="4"/>
        <v/>
      </c>
      <c r="J288" s="3"/>
      <c r="K288" s="5" t="str">
        <f>IFERROR(Tabla347911[[#This Row],[USD]]/$B$1,"")</f>
        <v/>
      </c>
    </row>
    <row r="289" spans="4:11" ht="15.75" x14ac:dyDescent="0.25">
      <c r="D289" s="2">
        <v>288</v>
      </c>
      <c r="E289" s="2"/>
      <c r="F289" s="2"/>
      <c r="G289" s="2"/>
      <c r="H289" s="2"/>
      <c r="I289" s="2" t="str">
        <f t="shared" si="4"/>
        <v/>
      </c>
      <c r="J289" s="3"/>
      <c r="K289" s="5" t="str">
        <f>IFERROR(Tabla347911[[#This Row],[USD]]/$B$1,"")</f>
        <v/>
      </c>
    </row>
    <row r="290" spans="4:11" ht="15.75" x14ac:dyDescent="0.25">
      <c r="D290" s="2">
        <v>289</v>
      </c>
      <c r="E290" s="2"/>
      <c r="F290" s="2"/>
      <c r="G290" s="2"/>
      <c r="H290" s="2"/>
      <c r="I290" s="2" t="str">
        <f t="shared" si="4"/>
        <v/>
      </c>
      <c r="J290" s="3"/>
      <c r="K290" s="5" t="str">
        <f>IFERROR(Tabla347911[[#This Row],[USD]]/$B$1,"")</f>
        <v/>
      </c>
    </row>
    <row r="291" spans="4:11" ht="15.75" x14ac:dyDescent="0.25">
      <c r="D291" s="2">
        <v>290</v>
      </c>
      <c r="E291" s="2"/>
      <c r="F291" s="2"/>
      <c r="G291" s="2"/>
      <c r="H291" s="2"/>
      <c r="I291" s="2" t="str">
        <f t="shared" si="4"/>
        <v/>
      </c>
      <c r="J291" s="3"/>
      <c r="K291" s="5" t="str">
        <f>IFERROR(Tabla347911[[#This Row],[USD]]/$B$1,"")</f>
        <v/>
      </c>
    </row>
    <row r="292" spans="4:11" ht="15.75" x14ac:dyDescent="0.25">
      <c r="D292" s="2">
        <v>291</v>
      </c>
      <c r="E292" s="2"/>
      <c r="F292" s="2"/>
      <c r="G292" s="2"/>
      <c r="H292" s="2"/>
      <c r="I292" s="2" t="str">
        <f t="shared" si="4"/>
        <v/>
      </c>
      <c r="J292" s="3"/>
      <c r="K292" s="5" t="str">
        <f>IFERROR(Tabla347911[[#This Row],[USD]]/$B$1,"")</f>
        <v/>
      </c>
    </row>
    <row r="293" spans="4:11" ht="15.75" x14ac:dyDescent="0.25">
      <c r="D293" s="2">
        <v>292</v>
      </c>
      <c r="E293" s="2"/>
      <c r="F293" s="2"/>
      <c r="G293" s="2"/>
      <c r="H293" s="2"/>
      <c r="I293" s="2" t="str">
        <f t="shared" si="4"/>
        <v/>
      </c>
      <c r="J293" s="3"/>
      <c r="K293" s="5" t="str">
        <f>IFERROR(Tabla347911[[#This Row],[USD]]/$B$1,"")</f>
        <v/>
      </c>
    </row>
    <row r="294" spans="4:11" ht="15.75" x14ac:dyDescent="0.25">
      <c r="D294" s="2">
        <v>293</v>
      </c>
      <c r="E294" s="2"/>
      <c r="F294" s="2"/>
      <c r="G294" s="2"/>
      <c r="H294" s="2"/>
      <c r="I294" s="2" t="str">
        <f t="shared" si="4"/>
        <v/>
      </c>
      <c r="J294" s="3"/>
      <c r="K294" s="5" t="str">
        <f>IFERROR(Tabla347911[[#This Row],[USD]]/$B$1,"")</f>
        <v/>
      </c>
    </row>
    <row r="295" spans="4:11" ht="15.75" x14ac:dyDescent="0.25">
      <c r="D295" s="2">
        <v>294</v>
      </c>
      <c r="E295" s="2"/>
      <c r="F295" s="2"/>
      <c r="G295" s="2"/>
      <c r="H295" s="2"/>
      <c r="I295" s="2" t="str">
        <f t="shared" si="4"/>
        <v/>
      </c>
      <c r="J295" s="3"/>
      <c r="K295" s="5" t="str">
        <f>IFERROR(Tabla347911[[#This Row],[USD]]/$B$1,"")</f>
        <v/>
      </c>
    </row>
    <row r="296" spans="4:11" ht="15.75" x14ac:dyDescent="0.25">
      <c r="D296" s="2">
        <v>295</v>
      </c>
      <c r="E296" s="2"/>
      <c r="F296" s="2"/>
      <c r="G296" s="2"/>
      <c r="H296" s="2"/>
      <c r="I296" s="2" t="str">
        <f t="shared" si="4"/>
        <v/>
      </c>
      <c r="J296" s="3"/>
      <c r="K296" s="5" t="str">
        <f>IFERROR(Tabla347911[[#This Row],[USD]]/$B$1,"")</f>
        <v/>
      </c>
    </row>
    <row r="297" spans="4:11" ht="15.75" x14ac:dyDescent="0.25">
      <c r="D297" s="2">
        <v>296</v>
      </c>
      <c r="E297" s="2"/>
      <c r="F297" s="2"/>
      <c r="G297" s="2"/>
      <c r="H297" s="2"/>
      <c r="I297" s="2" t="str">
        <f t="shared" si="4"/>
        <v/>
      </c>
      <c r="J297" s="3"/>
      <c r="K297" s="5" t="str">
        <f>IFERROR(Tabla347911[[#This Row],[USD]]/$B$1,"")</f>
        <v/>
      </c>
    </row>
    <row r="298" spans="4:11" ht="15.75" x14ac:dyDescent="0.25">
      <c r="D298" s="2">
        <v>297</v>
      </c>
      <c r="E298" s="2"/>
      <c r="F298" s="2"/>
      <c r="G298" s="2"/>
      <c r="H298" s="2"/>
      <c r="I298" s="2" t="str">
        <f t="shared" si="4"/>
        <v/>
      </c>
      <c r="J298" s="3"/>
      <c r="K298" s="5" t="str">
        <f>IFERROR(Tabla347911[[#This Row],[USD]]/$B$1,"")</f>
        <v/>
      </c>
    </row>
    <row r="299" spans="4:11" ht="15.75" x14ac:dyDescent="0.25">
      <c r="D299" s="2">
        <v>298</v>
      </c>
      <c r="E299" s="2"/>
      <c r="F299" s="2"/>
      <c r="G299" s="2"/>
      <c r="H299" s="2"/>
      <c r="I299" s="2" t="str">
        <f t="shared" si="4"/>
        <v/>
      </c>
      <c r="J299" s="3"/>
      <c r="K299" s="5" t="str">
        <f>IFERROR(Tabla347911[[#This Row],[USD]]/$B$1,"")</f>
        <v/>
      </c>
    </row>
    <row r="300" spans="4:11" ht="15.75" x14ac:dyDescent="0.25">
      <c r="D300" s="2">
        <v>299</v>
      </c>
      <c r="E300" s="2"/>
      <c r="F300" s="2"/>
      <c r="G300" s="2"/>
      <c r="H300" s="2"/>
      <c r="I300" s="2" t="str">
        <f t="shared" si="4"/>
        <v/>
      </c>
      <c r="J300" s="3"/>
      <c r="K300" s="5" t="str">
        <f>IFERROR(Tabla347911[[#This Row],[USD]]/$B$1,"")</f>
        <v/>
      </c>
    </row>
    <row r="301" spans="4:11" ht="15.75" x14ac:dyDescent="0.25">
      <c r="D301" s="2">
        <v>300</v>
      </c>
      <c r="E301" s="2"/>
      <c r="F301" s="2"/>
      <c r="G301" s="2"/>
      <c r="H301" s="2"/>
      <c r="I301" s="2" t="str">
        <f t="shared" si="4"/>
        <v/>
      </c>
      <c r="J301" s="3"/>
      <c r="K301" s="5" t="str">
        <f>IFERROR(Tabla347911[[#This Row],[USD]]/$B$1,"")</f>
        <v/>
      </c>
    </row>
    <row r="397" spans="18:34" ht="18.75" customHeight="1" x14ac:dyDescent="0.25">
      <c r="R397" s="86" t="s">
        <v>26</v>
      </c>
      <c r="S397" s="86"/>
      <c r="T397" s="86"/>
      <c r="U397" s="86"/>
      <c r="V397" s="86"/>
      <c r="X397" s="83" t="s">
        <v>28</v>
      </c>
      <c r="Y397" s="83"/>
      <c r="Z397" s="83"/>
      <c r="AA397" s="83"/>
      <c r="AB397" s="83"/>
      <c r="AD397" s="84" t="s">
        <v>27</v>
      </c>
      <c r="AE397" s="84"/>
      <c r="AF397" s="84"/>
      <c r="AG397" s="84"/>
      <c r="AH397" s="84"/>
    </row>
    <row r="398" spans="18:34" ht="15.75" customHeight="1" x14ac:dyDescent="0.25">
      <c r="R398" s="86"/>
      <c r="S398" s="86"/>
      <c r="T398" s="86"/>
      <c r="U398" s="86"/>
      <c r="V398" s="86"/>
      <c r="X398" s="83"/>
      <c r="Y398" s="83"/>
      <c r="Z398" s="83"/>
      <c r="AA398" s="83"/>
      <c r="AB398" s="83"/>
      <c r="AD398" s="84"/>
      <c r="AE398" s="84"/>
      <c r="AF398" s="84"/>
      <c r="AG398" s="84"/>
      <c r="AH398" s="84"/>
    </row>
    <row r="401" spans="18:34" ht="15.75" x14ac:dyDescent="0.25">
      <c r="R401" s="27" t="str">
        <f>IFERROR((COUNTIFS(I401:I1398,"100x",J401:J1398,"Ida",L401:L1398,"Ganado")+(COUNTIFS(I401:I1398,"100x",J401:J1398,"Ida",L401:L1398,"Break Even")))/(COUNTIFS(I401:I1398,"100x",J401:J1398,"Ida")),"Sin Datos")</f>
        <v>Sin Datos</v>
      </c>
      <c r="S401" s="27" t="str">
        <f>IFERROR((COUNTIFS(I401:I1398,"100x",J401:J1398,"Vuelta",L401:L1398,"Ganado")+(COUNTIFS(I401:I1398,"100x",J401:J1398,"Vuelta",L401:L1398,"Break Even")))/(COUNTIFS(I401:I1398,"100x",J401:J1398,"Vuelta")),"Sin Datos")</f>
        <v>Sin Datos</v>
      </c>
      <c r="T401" s="27" t="str">
        <f>IFERROR((COUNTIFS(I401:I1398,"100x",K401:K1398,"Long",L401:L1398,"Ganado")+(COUNTIFS(I401:I1398,"100x",K401:K1398,"Long",L401:L1398,"Break Even")))/(COUNTIFS(I401:I1398,"100x",K401:K1398,"Long")),"Sin Datos")</f>
        <v>Sin Datos</v>
      </c>
      <c r="U401" s="27" t="str">
        <f>IFERROR((COUNTIFS(I401:I1398,"100x",K401:K1398,"Short",L401:L1398,"Ganado")+(COUNTIFS(I401:I1398,"100x",K401:K1398,"Short",L401:L1398,"Break Even")))/(COUNTIFS(I401:I1398,"100x",K401:K1398,"Short")),"Sin Datos")</f>
        <v>Sin Datos</v>
      </c>
      <c r="V401" s="4" t="str">
        <f>IFERROR((COUNTIFS(I401:I1398,"100x",L401:L1398,"Ganado")+(COUNTIFS(I401:I1398,"100x",L401:L1398,"Break Even")))/(Q401),"Sin Datos")</f>
        <v>Sin Datos</v>
      </c>
      <c r="X401" s="27" t="str">
        <f>IFERROR((COUNTIFS(O401:O1398,"100x",P401:P1398,"Ida",R401:R1398,"Ganado"))/(COUNTIFS(O401:O1398,"100x",P401:P1398,"Ida")-(COUNTIFS(O401:O1398,"100x",P401:P1398,"Ida",R401:R1398,"Break Even"))),"Sin Datos")</f>
        <v>Sin Datos</v>
      </c>
      <c r="Y401" s="27" t="str">
        <f>IFERROR((COUNTIFS(O401:O1398,"100x",P401:P1398,"Vuelta",R401:R1398,"Ganado"))/(COUNTIFS(O401:O1398,"100x",P401:P1398,"Vuelta")-(COUNTIFS(O401:O1398,"100x",P401:P1398,"Vuelta",R401:R1398,"Break Even"))),"Sin Datos")</f>
        <v>Sin Datos</v>
      </c>
      <c r="Z401" s="27" t="str">
        <f>IFERROR((COUNTIFS(O401:O1398,"100x",Q401:Q1398,"Long",R401:R1398,"Ganado"))/(COUNTIFS(O401:O1398,"100x",Q401:Q1398,"Long")-(COUNTIFS(O401:O1398,"100x",Q401:Q1398,"Long",R401:R1398,"Break Even"))),"Sin Datos")</f>
        <v>Sin Datos</v>
      </c>
      <c r="AA401" s="27" t="str">
        <f>IFERROR((COUNTIFS(O401:O1398,"100x",Q401:Q1398,"Short",R401:R1398,"Ganado"))/(COUNTIFS(O401:O1398,"100x",Q401:Q1398,"Short")-(COUNTIFS(O401:O1398,"100x",Q401:Q1398,"Short",R401:R1398,"Break Even"))),"Sin Datos")</f>
        <v>Sin Datos</v>
      </c>
      <c r="AB401" s="4" t="str">
        <f>IFERROR((COUNTIFS(O401:O1398,"100x",R401:R1398,"Ganado"))/((W401)-(COUNTIFS(O401:O1398,"100x",R401:R1398,"Break Even"))),"Sin Datos")</f>
        <v>Sin Datos</v>
      </c>
      <c r="AD401" s="27" t="str">
        <f>IFERROR((COUNTIFS(U401:U1398,"100x",V401:V1398,"Ida",X401:X1398,"Ganado"))/(COUNTIFS(U401:U1398,"100x",V401:V1398,"Ida")),"Sin Datos")</f>
        <v>Sin Datos</v>
      </c>
      <c r="AE401" s="27" t="str">
        <f>IFERROR((COUNTIFS(U401:U1398,"100x",V401:V1398,"Vuelta",X401:X1398,"Ganado"))/(COUNTIFS(U401:U1398,"100x",V401:V1398,"Vuelta")),"Sin Datos")</f>
        <v>Sin Datos</v>
      </c>
      <c r="AF401" s="27" t="str">
        <f>IFERROR((COUNTIFS(U401:U1398,"100x",W401:W1398,"Long",X401:X1398,"Ganado"))/(COUNTIFS(U401:U1398,"100x",W401:W1398,"Long")),"Sin Datos")</f>
        <v>Sin Datos</v>
      </c>
      <c r="AG401" s="27" t="str">
        <f>IFERROR((COUNTIFS(U401:U1398,"100x",W401:W1398,"Short",X401:X1398,"Ganado"))/(COUNTIFS(U401:U1398,"100x",W401:W1398,"Short")),"Sin Datos")</f>
        <v>Sin Datos</v>
      </c>
      <c r="AH401" s="4" t="str">
        <f>IFERROR((COUNTIFS(U401:U1398,"100x",X401:X1398,"Ganado"))/(AC401),"Sin Datos")</f>
        <v>Sin Datos</v>
      </c>
    </row>
    <row r="402" spans="18:34" ht="15.75" x14ac:dyDescent="0.25">
      <c r="R402" s="27" t="str">
        <f>IFERROR((COUNTIFS(I401:I1398,"50x",J401:J1398,"Ida",L401:L1398,"Ganado")+(COUNTIFS(I401:I1398,"50x",J401:J1398,"Ida",L401:L1398,"Break Even")))/(COUNTIFS(I401:I1398,"50x",J401:J1398,"Ida")),"Sin Datos")</f>
        <v>Sin Datos</v>
      </c>
      <c r="S402" s="27" t="str">
        <f>IFERROR((COUNTIFS(I401:I1398,"50x",J401:J1398,"Vuelta",L401:L1398,"Ganado")+(COUNTIFS(I401:I1398,"50x",J401:J1398,"Vuelta",L401:L1398,"Break Even")))/(COUNTIFS(I401:I1398,"50x",J401:J1398,"Vuelta")),"Sin Datos")</f>
        <v>Sin Datos</v>
      </c>
      <c r="T402" s="27" t="str">
        <f>IFERROR((COUNTIFS(I401:I1398,"50x",K401:K1398,"Long",L401:L1398,"Ganado")+(COUNTIFS(I401:I1398,"50x",K401:K1398,"Long",L401:L1398,"Break Even")))/(COUNTIFS(I401:I1398,"50x",K401:K1398,"Long")),"Sin Datos")</f>
        <v>Sin Datos</v>
      </c>
      <c r="U402" s="27" t="str">
        <f>IFERROR((COUNTIFS(I401:I1398,"50x",K401:K1398,"Short",L401:L1398,"Ganado")+(COUNTIFS(I401:I1398,"50x",K401:K1398,"Short",L401:L1398,"Break Even")))/(COUNTIFS(I401:I1398,"50x",K401:K1398,"Short")),"Sin Datos")</f>
        <v>Sin Datos</v>
      </c>
      <c r="V402" s="4" t="str">
        <f>IFERROR((COUNTIFS(I401:I1398,"50x",L401:L1398,"Ganado")+(COUNTIFS(I401:I1398,"50x",L401:L1398,"Break Even")))/(Q402),"Sin Datos")</f>
        <v>Sin Datos</v>
      </c>
      <c r="X402" s="27" t="str">
        <f>IFERROR((COUNTIFS(O401:O1398,"50x",P401:P1398,"Ida",R401:R1398,"Ganado"))/(COUNTIFS(O401:O1398,"50x",P401:P1398,"Ida")-(COUNTIFS(O401:O1398,"50x",P401:P1398,"Ida",R401:R1398,"Break Even"))),"Sin Datos")</f>
        <v>Sin Datos</v>
      </c>
      <c r="Y402" s="27" t="str">
        <f>IFERROR((COUNTIFS(O401:O1398,"50x",P401:P1398,"Vuelta",R401:R1398,"Ganado"))/(COUNTIFS(O401:O1398,"50x",P401:P1398,"Vuelta")-(COUNTIFS(O401:O1398,"50x",P401:P1398,"Vuelta",R401:R1398,"Break Even"))),"Sin Datos")</f>
        <v>Sin Datos</v>
      </c>
      <c r="Z402" s="27" t="str">
        <f>IFERROR((COUNTIFS(O401:O1398,"50x",Q401:Q1398,"Long",R401:R1398,"Ganado"))/(COUNTIFS(O401:O1398,"50x",Q401:Q1398,"Long")-(COUNTIFS(O401:O1398,"50x",Q401:Q1398,"Long",R401:R1398,"Break Even"))),"Sin Datos")</f>
        <v>Sin Datos</v>
      </c>
      <c r="AA402" s="27" t="str">
        <f>IFERROR((COUNTIFS(O401:O1398,"50x",Q401:Q1398,"Short",R401:R1398,"Ganado"))/(COUNTIFS(O401:O1398,"50x",Q401:Q1398,"Short")-(COUNTIFS(O401:O1398,"50x",Q401:Q1398,"Short",R401:R1398,"Break Even"))),"Sin Datos")</f>
        <v>Sin Datos</v>
      </c>
      <c r="AB402" s="4" t="str">
        <f>IFERROR((COUNTIFS(O401:O1398,"50x",R401:R1398,"Ganado"))/((W402)-(COUNTIFS(O401:O1398,"50x",R401:R1398,"Break Even"))),"Sin Datos")</f>
        <v>Sin Datos</v>
      </c>
      <c r="AD402" s="27" t="str">
        <f>IFERROR((COUNTIFS(U401:U1398,"50x",V401:V1398,"Ida",X401:X1398,"Ganado"))/(COUNTIFS(U401:U1398,"50x",V401:V1398,"Ida")),"Sin Datos")</f>
        <v>Sin Datos</v>
      </c>
      <c r="AE402" s="27" t="str">
        <f>IFERROR((COUNTIFS(U401:U1398,"50x",V401:V1398,"Vuelta",X401:X1398,"Ganado"))/(COUNTIFS(U401:U1398,"50x",V401:V1398,"Vuelta")),"Sin Datos")</f>
        <v>Sin Datos</v>
      </c>
      <c r="AF402" s="27" t="str">
        <f>IFERROR((COUNTIFS(U401:U1398,"50x",W401:W1398,"Long",X401:X1398,"Ganado"))/(COUNTIFS(U401:U1398,"50x",W401:W1398,"Long")),"Sin Datos")</f>
        <v>Sin Datos</v>
      </c>
      <c r="AG402" s="27" t="str">
        <f>IFERROR((COUNTIFS(U401:U1398,"50x",W401:W1398,"Short",X401:X1398,"Ganado"))/(COUNTIFS(U401:U1398,"50x",W401:W1398,"Short")),"Sin Datos")</f>
        <v>Sin Datos</v>
      </c>
      <c r="AH402" s="4" t="str">
        <f>IFERROR((COUNTIFS(U401:U1398,"50x",X401:X1398,"Ganado"))/(AC402),"Sin Datos")</f>
        <v>Sin Datos</v>
      </c>
    </row>
    <row r="403" spans="18:34" ht="15.75" x14ac:dyDescent="0.25">
      <c r="R403" s="27" t="str">
        <f>IFERROR((COUNTIFS(I401:I1398,"25x",J401:J1398,"Ida",L401:L1398,"Ganado")+(COUNTIFS(I401:I1398,"25x",J401:J1398,"Ida",L401:L1398,"Break Even")))/(COUNTIFS(I401:I1398,"25x",J401:J1398,"Ida")),"Sin Datos")</f>
        <v>Sin Datos</v>
      </c>
      <c r="S403" s="27" t="str">
        <f>IFERROR((COUNTIFS(I401:I1398,"25x",J401:J1398,"Vuelta",L401:L1398,"Ganado")+(COUNTIFS(I401:I1398,"25x",J401:J1398,"Vuelta",L401:L1398,"Break Even")))/(COUNTIFS(I401:I1398,"25x",J401:J1398,"Vuelta")),"Sin Datos")</f>
        <v>Sin Datos</v>
      </c>
      <c r="T403" s="27" t="str">
        <f>IFERROR((COUNTIFS(I401:I1398,"25x",K401:K1398,"Long",L401:L1398,"Ganado")+(COUNTIFS(I401:I1398,"25x",K401:K1398,"Long",L401:L1398,"Break Even")))/(COUNTIFS(I401:I1398,"25x",K401:K1398,"Long")),"Sin Datos")</f>
        <v>Sin Datos</v>
      </c>
      <c r="U403" s="27" t="str">
        <f>IFERROR((COUNTIFS(I401:I1398,"25x",K401:K1398,"Short",L401:L1398,"Ganado")+(COUNTIFS(I401:I1398,"25x",K401:K1398,"Short",L401:L1398,"Break Even")))/(COUNTIFS(I401:I1398,"25x",K401:K1398,"Short")),"Sin Datos")</f>
        <v>Sin Datos</v>
      </c>
      <c r="V403" s="4" t="str">
        <f>IFERROR((COUNTIFS(I401:I1398,"25x",L401:L1398,"Ganado")+(COUNTIFS(I401:I1398,"25x",L401:L1398,"Break Even")))/(Q403),"Sin Datos")</f>
        <v>Sin Datos</v>
      </c>
      <c r="X403" s="27" t="str">
        <f>IFERROR((COUNTIFS(O401:O1398,"25x",P401:P1398,"Ida",R401:R1398,"Ganado"))/(COUNTIFS(O401:O1398,"25x",P401:P1398,"Ida")-(COUNTIFS(O401:O1398,"25x",P401:P1398,"Ida",R401:R1398,"Break Even"))),"Sin Datos")</f>
        <v>Sin Datos</v>
      </c>
      <c r="Y403" s="27" t="str">
        <f>IFERROR((COUNTIFS(O401:O1398,"25x",P401:P1398,"Vuelta",R401:R1398,"Ganado"))/(COUNTIFS(O401:O1398,"25x",P401:P1398,"Vuelta")-(COUNTIFS(O401:O1398,"25x",P401:P1398,"Vuelta",R401:R1398,"Break Even"))),"Sin Datos")</f>
        <v>Sin Datos</v>
      </c>
      <c r="Z403" s="27" t="str">
        <f>IFERROR((COUNTIFS(O401:O1398,"25x",Q401:Q1398,"Long",R401:R1398,"Ganado"))/(COUNTIFS(O401:O1398,"25x",Q401:Q1398,"Long")-(COUNTIFS(O401:O1398,"25x",Q401:Q1398,"Long",R401:R1398,"Break Even"))),"Sin Datos")</f>
        <v>Sin Datos</v>
      </c>
      <c r="AA403" s="27" t="str">
        <f>IFERROR((COUNTIFS(O401:O1398,"25x",Q401:Q1398,"Short",R401:R1398,"Ganado"))/(COUNTIFS(O401:O1398,"25x",Q401:Q1398,"Short")-(COUNTIFS(O401:O1398,"25x",Q401:Q1398,"Short",R401:R1398,"Break Even"))),"Sin Datos")</f>
        <v>Sin Datos</v>
      </c>
      <c r="AB403" s="4" t="str">
        <f>IFERROR((COUNTIFS(O401:O1398,"25x",R401:R1398,"Ganado"))/((W403)-(COUNTIFS(O401:O1398,"25x",R401:R1398,"Break Even"))),"Sin Datos")</f>
        <v>Sin Datos</v>
      </c>
      <c r="AD403" s="27" t="str">
        <f>IFERROR((COUNTIFS(U401:U1398,"25x",V401:V1398,"Ida",X401:X1398,"Ganado"))/(COUNTIFS(U401:U1398,"25x",V401:V1398,"Ida")),"Sin Datos")</f>
        <v>Sin Datos</v>
      </c>
      <c r="AE403" s="27" t="str">
        <f>IFERROR((COUNTIFS(U401:U1398,"25x",V401:V1398,"Vuelta",X401:X1398,"Ganado"))/(COUNTIFS(U401:U1398,"25x",V401:V1398,"Vuelta")),"Sin Datos")</f>
        <v>Sin Datos</v>
      </c>
      <c r="AF403" s="27" t="str">
        <f>IFERROR((COUNTIFS(U401:U1398,"25x",W401:W1398,"Long",X401:X1398,"Ganado"))/(COUNTIFS(U401:U1398,"25x",W401:W1398,"Long")),"Sin Datos")</f>
        <v>Sin Datos</v>
      </c>
      <c r="AG403" s="27" t="str">
        <f>IFERROR((COUNTIFS(U401:U1398,"25x",W401:W1398,"Short",X401:X1398,"Ganado"))/(COUNTIFS(U401:U1398,"25x",W401:W1398,"Short")),"Sin Datos")</f>
        <v>Sin Datos</v>
      </c>
      <c r="AH403" s="4" t="str">
        <f>IFERROR((COUNTIFS(U401:U1398,"25x",X401:X1398,"Ganado"))/(AC403),"Sin Datos")</f>
        <v>Sin Datos</v>
      </c>
    </row>
    <row r="404" spans="18:34" ht="15.75" x14ac:dyDescent="0.25">
      <c r="R404" s="27" t="str">
        <f>IFERROR((COUNTIFS(I401:I1398,"10x",J401:J1398,"Ida",L401:L1398,"Ganado")+(COUNTIFS(I401:I1398,"10x",J401:J1398,"Ida",L401:L1398,"Break Even")))/(COUNTIFS(I401:I1398,"10x",J401:J1398,"Ida")),"Sin Datos")</f>
        <v>Sin Datos</v>
      </c>
      <c r="S404" s="27" t="str">
        <f>IFERROR((COUNTIFS(I401:I1398,"10x",J401:J1398,"Vuelta",L401:L1398,"Ganado")+(COUNTIFS(I401:I1398,"10x",J401:J1398,"Vuelta",L401:L1398,"Break Even")))/(COUNTIFS(I401:I1398,"10x",J401:J1398,"Vuelta")),"Sin Datos")</f>
        <v>Sin Datos</v>
      </c>
      <c r="T404" s="27" t="str">
        <f>IFERROR((COUNTIFS(I401:I1398,"10x",K401:K1398,"Long",L401:L1398,"Ganado")+(COUNTIFS(I401:I1398,"10x",K401:K1398,"Long",L401:L1398,"Break Even")))/(COUNTIFS(I401:I1398,"10x",K401:K1398,"Long")),"Sin Datos")</f>
        <v>Sin Datos</v>
      </c>
      <c r="U404" s="27" t="str">
        <f>IFERROR((COUNTIFS(I401:I1398,"10x",K401:K1398,"Short",L401:L1398,"Ganado")+(COUNTIFS(I401:I1398,"10x",K401:K1398,"Short",L401:L1398,"Break Even")))/(COUNTIFS(I401:I1398,"10x",K401:K1398,"Short")),"Sin Datos")</f>
        <v>Sin Datos</v>
      </c>
      <c r="V404" s="4" t="str">
        <f>IFERROR((COUNTIFS(I401:I1398,"10x",L401:L1398,"Ganado")+(COUNTIFS(I401:I1398,"10x",L401:L1398,"Break Even")))/(Q404),"Sin Datos")</f>
        <v>Sin Datos</v>
      </c>
      <c r="X404" s="27" t="str">
        <f>IFERROR((COUNTIFS(O401:O1398,"10x",P401:P1398,"Ida",R401:R1398,"Ganado"))/(COUNTIFS(O401:O1398,"10x",P401:P1398,"Ida")-(COUNTIFS(O401:O1398,"10x",P401:P1398,"Ida",R401:R1398,"Break Even"))),"Sin Datos")</f>
        <v>Sin Datos</v>
      </c>
      <c r="Y404" s="27" t="str">
        <f>IFERROR((COUNTIFS(O401:O1398,"10x",P401:P1398,"Vuelta",R401:R1398,"Ganado"))/(COUNTIFS(O401:O1398,"10x",P401:P1398,"Vuelta")-(COUNTIFS(O401:O1398,"10x",P401:P1398,"Vuelta",R401:R1398,"Break Even"))),"Sin Datos")</f>
        <v>Sin Datos</v>
      </c>
      <c r="Z404" s="27" t="str">
        <f>IFERROR((COUNTIFS(O401:O1398,"10x",Q401:Q1398,"Long",R401:R1398,"Ganado"))/(COUNTIFS(O401:O1398,"10x",Q401:Q1398,"Long")-(COUNTIFS(O401:O1398,"10x",Q401:Q1398,"Long",R401:R1398,"Break Even"))),"Sin Datos")</f>
        <v>Sin Datos</v>
      </c>
      <c r="AA404" s="27" t="str">
        <f>IFERROR((COUNTIFS(O401:O1398,"10x",Q401:Q1398,"Short",R401:R1398,"Ganado"))/(COUNTIFS(O401:O1398,"10x",Q401:Q1398,"Short")-(COUNTIFS(O401:O1398,"10x",Q401:Q1398,"Short",R401:R1398,"Break Even"))),"Sin Datos")</f>
        <v>Sin Datos</v>
      </c>
      <c r="AB404" s="4" t="str">
        <f>IFERROR((COUNTIFS(O401:O1398,"10x",R401:R1398,"Ganado"))/((W404)-(COUNTIFS(O401:O1398,"10x",R401:R1398,"Break Even"))),"Sin Datos")</f>
        <v>Sin Datos</v>
      </c>
      <c r="AD404" s="27" t="str">
        <f>IFERROR((COUNTIFS(U401:U1398,"10x",V401:V1398,"Ida",X401:X1398,"Ganado"))/(COUNTIFS(U401:U1398,"10x",V401:V1398,"Ida")),"Sin Datos")</f>
        <v>Sin Datos</v>
      </c>
      <c r="AE404" s="27" t="str">
        <f>IFERROR((COUNTIFS(U401:U1398,"10x",V401:V1398,"Vuelta",X401:X1398,"Ganado"))/(COUNTIFS(U401:U1398,"10x",V401:V1398,"Vuelta")),"Sin Datos")</f>
        <v>Sin Datos</v>
      </c>
      <c r="AF404" s="27" t="str">
        <f>IFERROR((COUNTIFS(U401:U1398,"10x",W401:W1398,"Long",X401:X1398,"Ganado"))/(COUNTIFS(U401:U1398,"10x",W401:W1398,"Long")),"Sin Datos")</f>
        <v>Sin Datos</v>
      </c>
      <c r="AG404" s="27" t="str">
        <f>IFERROR((COUNTIFS(U401:U1398,"10x",W401:W1398,"Short",X401:X1398,"Ganado"))/(COUNTIFS(U401:U1398,"10x",W401:W1398,"Short")),"Sin Datos")</f>
        <v>Sin Datos</v>
      </c>
      <c r="AH404" s="4" t="str">
        <f>IFERROR((COUNTIFS(U401:U1398,"10x",X401:X1398,"Ganado"))/(AC404),"Sin Datos")</f>
        <v>Sin Datos</v>
      </c>
    </row>
    <row r="405" spans="18:34" ht="15.75" x14ac:dyDescent="0.25">
      <c r="R405" s="27" t="str">
        <f>IFERROR((COUNTIFS(I401:I1398,"5x",J401:J1398,"Ida",L401:L1398,"Ganado")+(COUNTIFS(I401:I1398,"5x",J401:J1398,"Ida",L401:L1398,"Break Even")))/(COUNTIFS(I401:I1398,"5x",J401:J1398,"Ida")),"Sin Datos")</f>
        <v>Sin Datos</v>
      </c>
      <c r="S405" s="27" t="str">
        <f>IFERROR((COUNTIFS(I401:I1398,"5x",J401:J1398,"Vuelta",L401:L1398,"Ganado")+(COUNTIFS(I401:I1398,"5x",J401:J1398,"Vuelta",L401:L1398,"Break Even")))/(COUNTIFS(I401:I1398,"5x",J401:J1398,"Vuelta")),"Sin Datos")</f>
        <v>Sin Datos</v>
      </c>
      <c r="T405" s="27" t="str">
        <f>IFERROR((COUNTIFS(I401:I1398,"5x",K401:K1398,"Long",L401:L1398,"Ganado")+(COUNTIFS(I401:I1398,"5x",K401:K1398,"Long",L401:L1398,"Break Even")))/(COUNTIFS(I401:I1398,"5x",K401:K1398,"Long")),"Sin Datos")</f>
        <v>Sin Datos</v>
      </c>
      <c r="U405" s="27" t="str">
        <f>IFERROR((COUNTIFS(I401:I1398,"5x",K401:K1398,"Short",L401:L1398,"Ganado")+(COUNTIFS(I401:I1398,"5x",K401:K1398,"Short",L401:L1398,"Break Even")))/(COUNTIFS(I401:I1398,"5x",K401:K1398,"Short")),"Sin Datos")</f>
        <v>Sin Datos</v>
      </c>
      <c r="V405" s="4" t="str">
        <f>IFERROR((COUNTIFS(I401:I1398,"5x",L401:L1398,"Ganado")+(COUNTIFS(I401:I1398,"5x",L401:L1398,"Break Even")))/(Q405),"Sin Datos")</f>
        <v>Sin Datos</v>
      </c>
      <c r="X405" s="27" t="str">
        <f>IFERROR((COUNTIFS(O401:O1398,"5x",P401:P1398,"Ida",R401:R1398,"Ganado"))/(COUNTIFS(O401:O1398,"5x",P401:P1398,"Ida")-(COUNTIFS(O401:O1398,"5x",P401:P1398,"Ida",R401:R1398,"Break Even"))),"Sin Datos")</f>
        <v>Sin Datos</v>
      </c>
      <c r="Y405" s="27" t="str">
        <f>IFERROR((COUNTIFS(O401:O1398,"5x",P401:P1398,"Vuelta",R401:R1398,"Ganado"))/(COUNTIFS(O401:O1398,"5x",P401:P1398,"Vuelta")-(COUNTIFS(O401:O1398,"5x",P401:P1398,"Vuelta",R401:R1398,"Break Even"))),"Sin Datos")</f>
        <v>Sin Datos</v>
      </c>
      <c r="Z405" s="27" t="str">
        <f>IFERROR((COUNTIFS(O401:O1398,"5x",Q401:Q1398,"Long",R401:R1398,"Ganado"))/(COUNTIFS(O401:O1398,"5x",Q401:Q1398,"Long")-(COUNTIFS(O401:O1398,"5x",Q401:Q1398,"Long",R401:R1398,"Break Even"))),"Sin Datos")</f>
        <v>Sin Datos</v>
      </c>
      <c r="AA405" s="27" t="str">
        <f>IFERROR((COUNTIFS(O401:O1398,"5x",Q401:Q1398,"Short",R401:R1398,"Ganado"))/(COUNTIFS(O401:O1398,"5x",Q401:Q1398,"Short")-(COUNTIFS(O401:O1398,"5x",Q401:Q1398,"Short",R401:R1398,"Break Even"))),"Sin Datos")</f>
        <v>Sin Datos</v>
      </c>
      <c r="AB405" s="4" t="str">
        <f>IFERROR((COUNTIFS(O401:O1398,"5x",R401:R1398,"Ganado"))/((W405)-(COUNTIFS(O401:O1398,"5x",R401:R1398,"Break Even"))),"Sin Datos")</f>
        <v>Sin Datos</v>
      </c>
      <c r="AD405" s="27" t="str">
        <f>IFERROR((COUNTIFS(U401:U1398,"5x",V401:V1398,"Ida",X401:X1398,"Ganado"))/(COUNTIFS(U401:U1398,"5x",V401:V1398,"Ida")),"Sin Datos")</f>
        <v>Sin Datos</v>
      </c>
      <c r="AE405" s="27" t="str">
        <f>IFERROR((COUNTIFS(U401:U1398,"5x",V401:V1398,"Vuelta",X401:X1398,"Ganado"))/(COUNTIFS(U401:U1398,"5x",V401:V1398,"Vuelta")),"Sin Datos")</f>
        <v>Sin Datos</v>
      </c>
      <c r="AF405" s="27" t="str">
        <f>IFERROR((COUNTIFS(U401:U1398,"5x",W401:W1398,"Long",X401:X1398,"Ganado"))/(COUNTIFS(U401:U1398,"5x",W401:W1398,"Long")),"Sin Datos")</f>
        <v>Sin Datos</v>
      </c>
      <c r="AG405" s="27" t="str">
        <f>IFERROR((COUNTIFS(U401:U1398,"5x",W401:W1398,"Short",X401:X1398,"Ganado"))/(COUNTIFS(U401:U1398,"5x",W401:W1398,"Short")),"Sin Datos")</f>
        <v>Sin Datos</v>
      </c>
      <c r="AH405" s="4" t="str">
        <f>IFERROR((COUNTIFS(U401:U1398,"5x",X401:X1398,"Ganado"))/(AC405),"Sin Datos")</f>
        <v>Sin Datos</v>
      </c>
    </row>
    <row r="406" spans="18:34" ht="15.75" x14ac:dyDescent="0.25">
      <c r="R406" s="27" t="str">
        <f>IFERROR((COUNTIFS(I401:I1398,"BatiBot",J401:J1398,"Ida",L401:L1398,"Ganado")+(COUNTIFS(I401:I1398,"BatiBot",J401:J1398,"Ida",L401:L1398,"Break Even")))/(COUNTIFS(I401:I1398,"BatiBot",J401:J1398,"Ida")),"Sin Datos")</f>
        <v>Sin Datos</v>
      </c>
      <c r="S406" s="27" t="str">
        <f>IFERROR((COUNTIFS(I401:I1398,"BatiBot",J401:J1398,"Vuelta",L401:L1398,"Ganado")+(COUNTIFS(I401:I1398,"BatiBot",J401:J1398,"Vuelta",L401:L1398,"Break Even")))/(COUNTIFS(I401:I1398,"BatiBot",J401:J1398,"Vuelta")),"Sin Datos")</f>
        <v>Sin Datos</v>
      </c>
      <c r="T406" s="27" t="str">
        <f>IFERROR((COUNTIFS(I401:I1398,"BatiBot",K401:K1398,"Long",L401:L1398,"Ganado")+(COUNTIFS(I401:I1398,"BatiBot",K401:K1398,"Long",L401:L1398,"Break Even")))/(COUNTIFS(I401:I1398,"BatiBot",K401:K1398,"Long")),"Sin Datos")</f>
        <v>Sin Datos</v>
      </c>
      <c r="U406" s="27" t="str">
        <f>IFERROR((COUNTIFS(I401:I1398,"BatiBot",K401:K1398,"Short",L401:L1398,"Ganado")+(COUNTIFS(I401:I1398,"BatiBot",K401:K1398,"Short",L401:L1398,"Break Even")))/(COUNTIFS(I401:I1398,"BatiBot",K401:K1398,"Short")),"Sin Datos")</f>
        <v>Sin Datos</v>
      </c>
      <c r="V406" s="4" t="str">
        <f>IFERROR((COUNTIFS(I401:I1398,"BatiBot",L401:L1398,"Ganado")+(COUNTIFS(I401:I1398,"BatiBot",L401:L1398,"Break Even")))/(Q406),"Sin Datos")</f>
        <v>Sin Datos</v>
      </c>
      <c r="X406" s="27" t="str">
        <f>IFERROR((COUNTIFS(O401:O1398,"BatiBot",P401:P1398,"Ida",R401:R1398,"Ganado"))/(COUNTIFS(O401:O1398,"BatiBot",P401:P1398,"Ida")-(COUNTIFS(O401:O1398,"BatiBot",P401:P1398,"Ida",R401:R1398,"Break Even"))),"Sin Datos")</f>
        <v>Sin Datos</v>
      </c>
      <c r="Y406" s="27" t="str">
        <f>IFERROR((COUNTIFS(O401:O1398,"BatiBot",P401:P1398,"Vuelta",R401:R1398,"Ganado"))/(COUNTIFS(O401:O1398,"BatiBot",P401:P1398,"Vuelta")-(COUNTIFS(O401:O1398,"BatiBot",P401:P1398,"Vuelta",R401:R1398,"Break Even"))),"Sin Datos")</f>
        <v>Sin Datos</v>
      </c>
      <c r="Z406" s="27" t="str">
        <f>IFERROR((COUNTIFS(O401:O1398,"BatiBot",Q401:Q1398,"Long",R401:R1398,"Ganado"))/(COUNTIFS(O401:O1398,"BatiBot",Q401:Q1398,"Long")-(COUNTIFS(O401:O1398,"BatiBot",Q401:Q1398,"Long",R401:R1398,"Break Even"))),"Sin Datos")</f>
        <v>Sin Datos</v>
      </c>
      <c r="AA406" s="27" t="str">
        <f>IFERROR((COUNTIFS(O401:O1398,"BatiBot",Q401:Q1398,"Short",R401:R1398,"Ganado"))/(COUNTIFS(O401:O1398,"BatiBot",Q401:Q1398,"Short")-(COUNTIFS(O401:O1398,"BatiBot",Q401:Q1398,"Short",R401:R1398,"Break Even"))),"Sin Datos")</f>
        <v>Sin Datos</v>
      </c>
      <c r="AB406" s="4" t="str">
        <f>IFERROR((COUNTIFS(O401:O1398,"BatiBot",R401:R1398,"Ganado"))/((W406)-(COUNTIFS(O401:O1398,"BatiBot",R401:R1398,"Break Even"))),"Sin Datos")</f>
        <v>Sin Datos</v>
      </c>
      <c r="AD406" s="27" t="str">
        <f>IFERROR((COUNTIFS(U401:U1398,"BatiBot",V401:V1398,"Ida",X401:X1398,"Ganado"))/(COUNTIFS(U401:U1398,"BatiBot",V401:V1398,"Ida")),"Sin Datos")</f>
        <v>Sin Datos</v>
      </c>
      <c r="AE406" s="27" t="str">
        <f>IFERROR((COUNTIFS(U401:U1398,"BatiBot",V401:V1398,"Vuelta",X401:X1398,"Ganado"))/(COUNTIFS(U401:U1398,"BatiBot",V401:V1398,"Vuelta")),"Sin Datos")</f>
        <v>Sin Datos</v>
      </c>
      <c r="AF406" s="27" t="str">
        <f>IFERROR((COUNTIFS(U401:U1398,"BatiBot",W401:W1398,"Long",X401:X1398,"Ganado"))/(COUNTIFS(U401:U1398,"BatiBot",W401:W1398,"Long")),"Sin Datos")</f>
        <v>Sin Datos</v>
      </c>
      <c r="AG406" s="27" t="str">
        <f>IFERROR((COUNTIFS(U401:U1398,"BatiBot",W401:W1398,"Short",X401:X1398,"Ganado"))/(COUNTIFS(U401:U1398,"BatiBot",W401:W1398,"Short")),"Sin Datos")</f>
        <v>Sin Datos</v>
      </c>
      <c r="AH406" s="4" t="str">
        <f>IFERROR((COUNTIFS(U401:U1398,"BatiBot",X401:X1398,"Ganado"))/(AC406),"Sin Datos")</f>
        <v>Sin Datos</v>
      </c>
    </row>
    <row r="407" spans="18:34" ht="15.75" x14ac:dyDescent="0.25">
      <c r="R407" s="27" t="str">
        <f>IFERROR((COUNTIFS(I401:I1398,"WolfiBot",J401:J1398,"Ida",L401:L1398,"Ganado")+(COUNTIFS(I401:I1398,"WolfiBot",J401:J1398,"Ida",L401:L1398,"Break Even")))/(COUNTIFS(I401:I1398,"WolfiBot",J401:J1398,"Ida")),"Sin Datos")</f>
        <v>Sin Datos</v>
      </c>
      <c r="S407" s="27" t="str">
        <f>IFERROR((COUNTIFS(I401:I1398,"WolfiBot",J401:J1398,"Vuelta",L401:L1398,"Ganado")+(COUNTIFS(I401:I1398,"WolfiBot",J401:J1398,"Vuelta",L401:L1398,"Break Even")))/(COUNTIFS(I401:I1398,"WolfiBot",J401:J1398,"Vuelta")),"Sin Datos")</f>
        <v>Sin Datos</v>
      </c>
      <c r="T407" s="27" t="str">
        <f>IFERROR((COUNTIFS(I401:I1398,"WolfiBot",K401:K1398,"Long",L401:L1398,"Ganado")+(COUNTIFS(I401:I1398,"WolfiBot",K401:K1398,"Long",L401:L1398,"Break Even")))/(COUNTIFS(I401:I1398,"WolfiBot",K401:K1398,"Long")),"Sin Datos")</f>
        <v>Sin Datos</v>
      </c>
      <c r="U407" s="27" t="str">
        <f>IFERROR((COUNTIFS(I401:I1398,"WolfiBot",K401:K1398,"Short",L401:L1398,"Ganado")+(COUNTIFS(I401:I1398,"WolfiBot",K401:K1398,"Short",L401:L1398,"Break Even")))/(COUNTIFS(I401:I1398,"WolfiBot",K401:K1398,"Short")),"Sin Datos")</f>
        <v>Sin Datos</v>
      </c>
      <c r="V407" s="4" t="str">
        <f>IFERROR((COUNTIFS(I401:I1398,"WolfiBot",L401:L1398,"Ganado")+(COUNTIFS(I401:I1398,"WolfiBot",L401:L1398,"Break Even")))/(Q407),"Sin Datos")</f>
        <v>Sin Datos</v>
      </c>
      <c r="X407" s="27" t="str">
        <f>IFERROR((COUNTIFS(O401:O1398,"WolfiBot",P401:P1398,"Ida",R401:R1398,"Ganado"))/(COUNTIFS(O401:O1398,"WolfiBot",P401:P1398,"Ida")-(COUNTIFS(O401:O1398,"WolfiBot",P401:P1398,"Ida",R401:R1398,"Break Even"))),"Sin Datos")</f>
        <v>Sin Datos</v>
      </c>
      <c r="Y407" s="27" t="str">
        <f>IFERROR((COUNTIFS(O401:O1398,"WolfiBot",P401:P1398,"Vuelta",R401:R1398,"Ganado"))/(COUNTIFS(O401:O1398,"WolfiBot",P401:P1398,"Vuelta")-(COUNTIFS(O401:O1398,"WolfiBot",P401:P1398,"Vuelta",R401:R1398,"Break Even"))),"Sin Datos")</f>
        <v>Sin Datos</v>
      </c>
      <c r="Z407" s="27" t="str">
        <f>IFERROR((COUNTIFS(O401:O1398,"WolfiBot",Q401:Q1398,"Long",R401:R1398,"Ganado"))/(COUNTIFS(O401:O1398,"WolfiBot",Q401:Q1398,"Long")-(COUNTIFS(O401:O1398,"WolfiBot",Q401:Q1398,"Long",R401:R1398,"Break Even"))),"Sin Datos")</f>
        <v>Sin Datos</v>
      </c>
      <c r="AA407" s="27" t="str">
        <f>IFERROR((COUNTIFS(O401:O1398,"WolfiBot",Q401:Q1398,"Short",R401:R1398,"Ganado"))/(COUNTIFS(O401:O1398,"WolfiBot",Q401:Q1398,"Short")-(COUNTIFS(O401:O1398,"WolfiBot",Q401:Q1398,"Short",R401:R1398,"Break Even"))),"Sin Datos")</f>
        <v>Sin Datos</v>
      </c>
      <c r="AB407" s="4" t="str">
        <f>IFERROR((COUNTIFS(O401:O1398,"WolfiBot",R401:R1398,"Ganado"))/((W407)-(COUNTIFS(O401:O1398,"WolfiBot",R401:R1398,"Break Even"))),"Sin Datos")</f>
        <v>Sin Datos</v>
      </c>
      <c r="AD407" s="27" t="str">
        <f>IFERROR((COUNTIFS(U401:U1398,"WolfiBot",V401:V1398,"Ida",X401:X1398,"Ganado"))/(COUNTIFS(U401:U1398,"WolfiBot",V401:V1398,"Ida")),"Sin Datos")</f>
        <v>Sin Datos</v>
      </c>
      <c r="AE407" s="27" t="str">
        <f>IFERROR((COUNTIFS(U401:U1398,"WolfiBot",V401:V1398,"Vuelta",X401:X1398,"Ganado"))/(COUNTIFS(U401:U1398,"WolfiBot",V401:V1398,"Vuelta")),"Sin Datos")</f>
        <v>Sin Datos</v>
      </c>
      <c r="AF407" s="27" t="str">
        <f>IFERROR((COUNTIFS(U401:U1398,"WolfiBot",W401:W1398,"Long",X401:X1398,"Ganado"))/(COUNTIFS(U401:U1398,"WolfiBot",W401:W1398,"Long")),"Sin Datos")</f>
        <v>Sin Datos</v>
      </c>
      <c r="AG407" s="27" t="str">
        <f>IFERROR((COUNTIFS(U401:U1398,"WolfiBot",W401:W1398,"Short",X401:X1398,"Ganado"))/(COUNTIFS(U401:U1398,"WolfiBot",W401:W1398,"Short")),"Sin Datos")</f>
        <v>Sin Datos</v>
      </c>
      <c r="AH407" s="4" t="str">
        <f>IFERROR((COUNTIFS(U401:U1398,"WolfiBot",X401:X1398,"Ganado"))/(AC407),"Sin Datos")</f>
        <v>Sin Datos</v>
      </c>
    </row>
    <row r="408" spans="18:34" ht="15.75" x14ac:dyDescent="0.25">
      <c r="R408" s="27" t="str">
        <f>IFERROR((COUNTIFS(I401:I1398,"CondorBot",J401:J1398,"Ida",L401:L1398,"Ganado")+(COUNTIFS(I401:I1398,"CondorBot",J401:J1398,"Ida",L401:L1398,"Break Even")))/(COUNTIFS(I401:I1398,"CondorBot",J401:J1398,"Ida")),"Sin Datos")</f>
        <v>Sin Datos</v>
      </c>
      <c r="S408" s="27" t="str">
        <f>IFERROR((COUNTIFS(I401:I1398,"CondorBot",J401:J1398,"Vuelta",L401:L1398,"Ganado")+(COUNTIFS(I401:I1398,"CondorBot",J401:J1398,"Vuelta",L401:L1398,"Break Even")))/(COUNTIFS(I401:I1398,"CondorBot",J401:J1398,"Vuelta")),"Sin Datos")</f>
        <v>Sin Datos</v>
      </c>
      <c r="T408" s="27" t="str">
        <f>IFERROR((COUNTIFS(I401:I1398,"CondorBot",K401:K1398,"Long",L401:L1398,"Ganado")+(COUNTIFS(I401:I1398,"CondorBot",K401:K1398,"Long",L401:L1398,"Break Even")))/(COUNTIFS(I401:I1398,"CondorBot",K401:K1398,"Long")),"Sin Datos")</f>
        <v>Sin Datos</v>
      </c>
      <c r="U408" s="27" t="str">
        <f>IFERROR((COUNTIFS(I401:I1398,"CondorBot",K401:K1398,"Short",L401:L1398,"Ganado")+(COUNTIFS(I401:I1398,"CondorBot",K401:K1398,"Short",L401:L1398,"Break Even")))/(COUNTIFS(I401:I1398,"CondorBot",K401:K1398,"Short")),"Sin Datos")</f>
        <v>Sin Datos</v>
      </c>
      <c r="V408" s="4" t="str">
        <f>IFERROR((COUNTIFS(I401:I1398,"CondorBot",L401:L1398,"Ganado")+(COUNTIFS(I401:I1398,"CondorBot",L401:L1398,"Break Even")))/(Q408),"Sin Datos")</f>
        <v>Sin Datos</v>
      </c>
      <c r="X408" s="27" t="str">
        <f>IFERROR((COUNTIFS(O401:O1398,"CondorBot",P401:P1398,"Ida",R401:R1398,"Ganado"))/(COUNTIFS(O401:O1398,"CondorBot",P401:P1398,"Ida")-(COUNTIFS(O401:O1398,"CondorBot",P401:P1398,"Ida",R401:R1398,"Break Even"))),"Sin Datos")</f>
        <v>Sin Datos</v>
      </c>
      <c r="Y408" s="27" t="str">
        <f>IFERROR((COUNTIFS(O401:O1398,"CondorBot",P401:P1398,"Vuelta",R401:R1398,"Ganado"))/(COUNTIFS(O401:O1398,"CondorBot",P401:P1398,"Vuelta")-(COUNTIFS(O401:O1398,"CondorBot",P401:P1398,"Vuelta",R401:R1398,"Break Even"))),"Sin Datos")</f>
        <v>Sin Datos</v>
      </c>
      <c r="Z408" s="27" t="str">
        <f>IFERROR((COUNTIFS(O401:O1398,"CondorBot",Q401:Q1398,"Long",R401:R1398,"Ganado"))/(COUNTIFS(O401:O1398,"CondorBot",Q401:Q1398,"Long")-(COUNTIFS(O401:O1398,"CondorBot",Q401:Q1398,"Long",R401:R1398,"Break Even"))),"Sin Datos")</f>
        <v>Sin Datos</v>
      </c>
      <c r="AA408" s="27" t="str">
        <f>IFERROR((COUNTIFS(O401:O1398,"CondorBot",Q401:Q1398,"Short",R401:R1398,"Ganado"))/(COUNTIFS(O401:O1398,"CondorBot",Q401:Q1398,"Short")-(COUNTIFS(O401:O1398,"CondorBot",Q401:Q1398,"Short",R401:R1398,"Break Even"))),"Sin Datos")</f>
        <v>Sin Datos</v>
      </c>
      <c r="AB408" s="4" t="str">
        <f>IFERROR((COUNTIFS(O401:O1398,"CondorBot",R401:R1398,"Ganado"))/((W408)-(COUNTIFS(O401:O1398,"CondorBot",R401:R1398,"Break Even"))),"Sin Datos")</f>
        <v>Sin Datos</v>
      </c>
      <c r="AD408" s="27" t="str">
        <f>IFERROR((COUNTIFS(U401:U1398,"CondorBot",V401:V1398,"Ida",X401:X1398,"Ganado"))/(COUNTIFS(U401:U1398,"CondorBot",V401:V1398,"Ida")),"Sin Datos")</f>
        <v>Sin Datos</v>
      </c>
      <c r="AE408" s="27" t="str">
        <f>IFERROR((COUNTIFS(U401:U1398,"CondorBot",V401:V1398,"Vuelta",X401:X1398,"Ganado"))/(COUNTIFS(U401:U1398,"CondorBot",V401:V1398,"Vuelta")),"Sin Datos")</f>
        <v>Sin Datos</v>
      </c>
      <c r="AF408" s="27" t="str">
        <f>IFERROR((COUNTIFS(U401:U1398,"CondorBot",W401:W1398,"Long",X401:X1398,"Ganado"))/(COUNTIFS(U401:U1398,"CondorBot",W401:W1398,"Long")),"Sin Datos")</f>
        <v>Sin Datos</v>
      </c>
      <c r="AG408" s="27" t="str">
        <f>IFERROR((COUNTIFS(U401:U1398,"CondorBot",W401:W1398,"Short",X401:X1398,"Ganado"))/(COUNTIFS(U401:U1398,"CondorBot",W401:W1398,"Short")),"Sin Datos")</f>
        <v>Sin Datos</v>
      </c>
      <c r="AH408" s="4" t="str">
        <f>IFERROR((COUNTIFS(U401:U1398,"CondorBot",X401:X1398,"Ganado"))/(AC408),"Sin Datos")</f>
        <v>Sin Datos</v>
      </c>
    </row>
    <row r="409" spans="18:34" ht="15.75" x14ac:dyDescent="0.25">
      <c r="R409" s="27" t="str">
        <f>IFERROR((COUNTIFS(I401:I1398,"Otras",J401:J1398,"Ida",L401:L1398,"Ganado")+(COUNTIFS(I401:I1398,"Otras",J401:J1398,"Ida",L401:L1398,"Break Even")))/(COUNTIFS(I401:I1398,"Otras",J401:J1398,"Ida")),"Sin Datos")</f>
        <v>Sin Datos</v>
      </c>
      <c r="S409" s="27" t="str">
        <f>IFERROR((COUNTIFS(I401:I1398,"Otras",J401:J1398,"Vuelta",L401:L1398,"Ganado")+(COUNTIFS(I401:I1398,"Otras",J401:J1398,"Vuelta",L401:L1398,"Break Even")))/(COUNTIFS(I401:I1398,"Otras",J401:J1398,"Vuelta")),"Sin Datos")</f>
        <v>Sin Datos</v>
      </c>
      <c r="T409" s="27" t="str">
        <f>IFERROR((COUNTIFS(I401:I1398,"Otras",K401:K1398,"Long",L401:L1398,"Ganado")+(COUNTIFS(I401:I1398,"Otras",K401:K1398,"Long",L401:L1398,"Break Even")))/(COUNTIFS(I401:I1398,"Otras",K401:K1398,"Long")),"Sin Datos")</f>
        <v>Sin Datos</v>
      </c>
      <c r="U409" s="27" t="str">
        <f>IFERROR((COUNTIFS(I401:I1398,"Otras",K401:K1398,"Short",L401:L1398,"Ganado")+(COUNTIFS(I401:I1398,"Otras",K401:K1398,"Short",L401:L1398,"Break Even")))/(COUNTIFS(I401:I1398,"Otras",K401:K1398,"Short")),"Sin Datos")</f>
        <v>Sin Datos</v>
      </c>
      <c r="V409" s="4" t="str">
        <f>IFERROR((COUNTIFS(I401:I1398,"Otras",L401:L1398,"Ganado")+(COUNTIFS(I401:I1398,"Otras",L401:L1398,"Break Even")))/(Q409),"Sin Datos")</f>
        <v>Sin Datos</v>
      </c>
      <c r="X409" s="27" t="str">
        <f>IFERROR((COUNTIFS(O401:O1398,"Otras",P401:P1398,"Ida",R401:R1398,"Ganado"))/(COUNTIFS(O401:O1398,"Otras",P401:P1398,"Ida")-(COUNTIFS(O401:O1398,"Otras",P401:P1398,"Ida",R401:R1398,"Break Even"))),"Sin Datos")</f>
        <v>Sin Datos</v>
      </c>
      <c r="Y409" s="27" t="str">
        <f>IFERROR((COUNTIFS(O401:O1398,"Otras",P401:P1398,"Vuelta",R401:R1398,"Ganado"))/(COUNTIFS(O401:O1398,"Otras",P401:P1398,"Vuelta")-(COUNTIFS(O401:O1398,"Otras",P401:P1398,"Vuelta",R401:R1398,"Break Even"))),"Sin Datos")</f>
        <v>Sin Datos</v>
      </c>
      <c r="Z409" s="27" t="str">
        <f>IFERROR((COUNTIFS(O401:O1398,"Otras",Q401:Q1398,"Long",R401:R1398,"Ganado"))/(COUNTIFS(O401:O1398,"Otras",Q401:Q1398,"Long")-(COUNTIFS(O401:O1398,"Otras",Q401:Q1398,"Long",R401:R1398,"Break Even"))),"Sin Datos")</f>
        <v>Sin Datos</v>
      </c>
      <c r="AA409" s="27" t="str">
        <f>IFERROR((COUNTIFS(O401:O1398,"Otras",Q401:Q1398,"Short",R401:R1398,"Ganado"))/(COUNTIFS(O401:O1398,"Otras",Q401:Q1398,"Short")-(COUNTIFS(O401:O1398,"Otras",Q401:Q1398,"Short",R401:R1398,"Break Even"))),"Sin Datos")</f>
        <v>Sin Datos</v>
      </c>
      <c r="AB409" s="4" t="str">
        <f>IFERROR((COUNTIFS(O401:O1398,"Otras",R401:R1398,"Ganado"))/((W409)-(COUNTIFS(O401:O1398,"Otras",R401:R1398,"Break Even"))),"Sin Datos")</f>
        <v>Sin Datos</v>
      </c>
      <c r="AD409" s="27" t="str">
        <f>IFERROR((COUNTIFS(U401:U1398,"Otras",V401:V1398,"Ida",X401:X1398,"Ganado"))/(COUNTIFS(U401:U1398,"Otras",V401:V1398,"Ida")),"Sin Datos")</f>
        <v>Sin Datos</v>
      </c>
      <c r="AE409" s="27" t="str">
        <f>IFERROR((COUNTIFS(U401:U1398,"Otras",V401:V1398,"Vuelta",X401:X1398,"Ganado"))/(COUNTIFS(U401:U1398,"Otras",V401:V1398,"Vuelta")),"Sin Datos")</f>
        <v>Sin Datos</v>
      </c>
      <c r="AF409" s="27" t="str">
        <f>IFERROR((COUNTIFS(U401:U1398,"Otras",W401:W1398,"Long",X401:X1398,"Ganado"))/(COUNTIFS(U401:U1398,"Otras",W401:W1398,"Long")),"Sin Datos")</f>
        <v>Sin Datos</v>
      </c>
      <c r="AG409" s="27" t="str">
        <f>IFERROR((COUNTIFS(U401:U1398,"Otras",W401:W1398,"Short",X401:X1398,"Ganado"))/(COUNTIFS(U401:U1398,"Otras",W401:W1398,"Short")),"Sin Datos")</f>
        <v>Sin Datos</v>
      </c>
      <c r="AH409" s="4" t="str">
        <f>IFERROR((COUNTIFS(U401:U1398,"Otras",X401:X1398,"Ganado"))/(AC409),"Sin Datos")</f>
        <v>Sin Datos</v>
      </c>
    </row>
    <row r="410" spans="18:34" ht="18.75" x14ac:dyDescent="0.25">
      <c r="R410" s="29" t="str">
        <f>IFERROR((COUNTIFS(J401:J1398,"Ida",L401:L1398,"Ganado")+(COUNTIFS(J401:J1398,"Ida",L401:L1398,"Break Even")))/(COUNTIFS(J401:J1398,"Ida")),"Sin Datos")</f>
        <v>Sin Datos</v>
      </c>
      <c r="S410" s="29" t="str">
        <f>IFERROR((COUNTIFS(J401:J1398,"Vuelta",L401:L1398,"Ganado")+(COUNTIFS(J401:J1398,"Vuelta",L401:L1398,"Break Even")))/(COUNTIFS(J401:J1398,"Vuelta")),"Sin Datos")</f>
        <v>Sin Datos</v>
      </c>
      <c r="T410" s="29" t="str">
        <f>IFERROR((COUNTIFS(K401:K1398,"Long",L401:L1398,"Ganado")+(COUNTIFS(K401:K1398,"Long",L401:L1398,"Break Even")))/(COUNTIFS(K401:K1398,"Long")),"Sin Datos")</f>
        <v>Sin Datos</v>
      </c>
      <c r="U410" s="29" t="str">
        <f>IFERROR((COUNTIFS(K401:K1398,"Short",L401:L1398,"Ganado")+(COUNTIFS(K401:K1398,"Short",L401:L1398,"Break Even")))/(COUNTIFS(K401:K1398,"Short")),"Sin Datos")</f>
        <v>Sin Datos</v>
      </c>
      <c r="V410" s="29" t="str">
        <f>IFERROR((COUNTIF(L401:L1398,"Ganado")+(COUNTIF(L401:L1398,"Break Even")))/(Q410),"Sin Datos")</f>
        <v>Sin Datos</v>
      </c>
      <c r="X410" s="29" t="str">
        <f>IFERROR((COUNTIFS(P401:P1398,"Ida",R401:R1398,"Ganado"))/(COUNTIFS(P401:P1398,"Ida")-(COUNTIFS(P401:P1398,"Ida",R401:R1398,"Break Even"))),"Sin Datos")</f>
        <v>Sin Datos</v>
      </c>
      <c r="Y410" s="29" t="str">
        <f>IFERROR((COUNTIFS(P401:P1398,"Vuelta",R401:R1398,"Ganado"))/(COUNTIFS(P401:P1398,"Vuelta")-(COUNTIFS(P401:P1398,"Vuelta",R401:R1398,"Break Even"))),"Sin Datos")</f>
        <v>Sin Datos</v>
      </c>
      <c r="Z410" s="29" t="str">
        <f>IFERROR((COUNTIFS(Q401:Q1398,"Long",R401:R1398,"Ganado"))/(COUNTIFS(Q401:Q1398,"Long")-(COUNTIFS(Q401:Q1398,"Long",R401:R1398,"Break Even"))),"Sin Datos")</f>
        <v>Sin Datos</v>
      </c>
      <c r="AA410" s="29" t="str">
        <f>IFERROR((COUNTIFS(Q401:Q1398,"Short",R401:R1398,"Ganado"))/(COUNTIFS(Q401:Q1398,"Short")-(COUNTIFS(Q401:Q1398,"Short",R401:R1398,"Break Even"))),"Sin Datos")</f>
        <v>Sin Datos</v>
      </c>
      <c r="AB410" s="29" t="str">
        <f>IFERROR((COUNTIF(R401:R1398,"Ganado"))/((W410)-(COUNTIF(R401:R1398,"Break Even"))),"Sin Datos")</f>
        <v>Sin Datos</v>
      </c>
      <c r="AD410" s="29" t="str">
        <f>IFERROR((COUNTIFS(V401:V1398,"Ida",X401:X1398,"Ganado"))/(COUNTIFS(V401:V1398,"Ida")),"Sin Datos")</f>
        <v>Sin Datos</v>
      </c>
      <c r="AE410" s="29" t="str">
        <f>IFERROR((COUNTIFS(V401:V1398,"Vuelta",X401:X1398,"Ganado"))/(COUNTIFS(V401:V1398,"Vuelta")),"Sin Datos")</f>
        <v>Sin Datos</v>
      </c>
      <c r="AF410" s="29" t="str">
        <f>IFERROR((COUNTIFS(W401:W1398,"Long",X401:X1398,"Ganado"))/(COUNTIFS(W401:W1398,"Long")),"Sin Datos")</f>
        <v>Sin Datos</v>
      </c>
      <c r="AG410" s="29" t="str">
        <f>IFERROR((COUNTIFS(W401:W1398,"Short",X401:X1398,"Ganado"))/(COUNTIFS(W401:W1398,"Short")),"Sin Datos")</f>
        <v>Sin Datos</v>
      </c>
      <c r="AH410" s="29" t="str">
        <f>IFERROR((COUNTIF(X401:X1398,"Ganado"))/(AC410),"Sin Datos")</f>
        <v>Sin Datos</v>
      </c>
    </row>
  </sheetData>
  <mergeCells count="4">
    <mergeCell ref="M13:N13"/>
    <mergeCell ref="R397:V398"/>
    <mergeCell ref="X397:AB398"/>
    <mergeCell ref="AD397:AH398"/>
  </mergeCells>
  <conditionalFormatting sqref="H2:H301">
    <cfRule type="containsText" dxfId="116" priority="28" operator="containsText" text="Short">
      <formula>NOT(ISERROR(SEARCH("Short",H2)))</formula>
    </cfRule>
    <cfRule type="containsText" dxfId="115" priority="29" operator="containsText" text="Long">
      <formula>NOT(ISERROR(SEARCH("Long",H2)))</formula>
    </cfRule>
  </conditionalFormatting>
  <conditionalFormatting sqref="I2:I301">
    <cfRule type="containsText" dxfId="114" priority="25" operator="containsText" text="Break Even">
      <formula>NOT(ISERROR(SEARCH("Break Even",I2)))</formula>
    </cfRule>
    <cfRule type="containsText" dxfId="113" priority="26" operator="containsText" text="Perdido">
      <formula>NOT(ISERROR(SEARCH("Perdido",I2)))</formula>
    </cfRule>
    <cfRule type="containsText" dxfId="112" priority="27" operator="containsText" text="Ganado">
      <formula>NOT(ISERROR(SEARCH("Ganado",I2)))</formula>
    </cfRule>
  </conditionalFormatting>
  <conditionalFormatting sqref="B8">
    <cfRule type="containsText" dxfId="111" priority="22" operator="containsText" text="Baja">
      <formula>NOT(ISERROR(SEARCH("Baja",B8)))</formula>
    </cfRule>
    <cfRule type="containsText" dxfId="110" priority="23" operator="containsText" text="Moderada">
      <formula>NOT(ISERROR(SEARCH("Moderada",B8)))</formula>
    </cfRule>
    <cfRule type="containsText" dxfId="109" priority="24" operator="containsText" text="Alta">
      <formula>NOT(ISERROR(SEARCH("Alta",B8)))</formula>
    </cfRule>
  </conditionalFormatting>
  <conditionalFormatting sqref="B13:B16">
    <cfRule type="cellIs" dxfId="108" priority="19" operator="between">
      <formula>0</formula>
      <formula>0.49</formula>
    </cfRule>
    <cfRule type="cellIs" dxfId="107" priority="20" operator="between">
      <formula>0.5</formula>
      <formula>0.65</formula>
    </cfRule>
    <cfRule type="cellIs" dxfId="106" priority="21" operator="between">
      <formula>0.66</formula>
      <formula>1</formula>
    </cfRule>
  </conditionalFormatting>
  <conditionalFormatting sqref="B17:B20">
    <cfRule type="cellIs" dxfId="105" priority="17" operator="lessThan">
      <formula>0</formula>
    </cfRule>
    <cfRule type="cellIs" dxfId="104" priority="18" operator="greaterThan">
      <formula>0</formula>
    </cfRule>
  </conditionalFormatting>
  <conditionalFormatting sqref="B2:B7">
    <cfRule type="cellIs" dxfId="103" priority="15" operator="lessThan">
      <formula>0</formula>
    </cfRule>
    <cfRule type="cellIs" dxfId="102" priority="16" operator="greaterThan">
      <formula>0</formula>
    </cfRule>
  </conditionalFormatting>
  <conditionalFormatting sqref="X401:AB410">
    <cfRule type="cellIs" dxfId="101" priority="12" operator="between">
      <formula>0.66</formula>
      <formula>1</formula>
    </cfRule>
    <cfRule type="cellIs" dxfId="100" priority="13" operator="between">
      <formula>0.5</formula>
      <formula>0.65</formula>
    </cfRule>
    <cfRule type="cellIs" dxfId="99" priority="14" operator="between">
      <formula>0</formula>
      <formula>0.49</formula>
    </cfRule>
  </conditionalFormatting>
  <conditionalFormatting sqref="R401:V410">
    <cfRule type="cellIs" dxfId="98" priority="9" operator="between">
      <formula>0.66</formula>
      <formula>1</formula>
    </cfRule>
    <cfRule type="cellIs" dxfId="97" priority="10" operator="between">
      <formula>0.5</formula>
      <formula>0.65</formula>
    </cfRule>
    <cfRule type="cellIs" dxfId="96" priority="11" operator="between">
      <formula>0</formula>
      <formula>0.49</formula>
    </cfRule>
  </conditionalFormatting>
  <conditionalFormatting sqref="AD401:AH410">
    <cfRule type="cellIs" dxfId="95" priority="6" operator="between">
      <formula>0.66</formula>
      <formula>1</formula>
    </cfRule>
    <cfRule type="cellIs" dxfId="94" priority="7" operator="between">
      <formula>0.5</formula>
      <formula>0.65</formula>
    </cfRule>
    <cfRule type="cellIs" dxfId="93" priority="8" operator="between">
      <formula>0</formula>
      <formula>0.49</formula>
    </cfRule>
  </conditionalFormatting>
  <conditionalFormatting sqref="O2:S11">
    <cfRule type="cellIs" dxfId="92" priority="3" operator="between">
      <formula>0.66</formula>
      <formula>1</formula>
    </cfRule>
    <cfRule type="cellIs" dxfId="91" priority="4" operator="between">
      <formula>0.5</formula>
      <formula>0.65</formula>
    </cfRule>
    <cfRule type="cellIs" dxfId="90" priority="5" operator="between">
      <formula>0</formula>
      <formula>0.49</formula>
    </cfRule>
  </conditionalFormatting>
  <conditionalFormatting sqref="J2:K301">
    <cfRule type="cellIs" dxfId="89" priority="1" operator="lessThan">
      <formula>0</formula>
    </cfRule>
    <cfRule type="cellIs" dxfId="88" priority="2" operator="greaterThan">
      <formula>0</formula>
    </cfRule>
  </conditionalFormatting>
  <dataValidations count="5">
    <dataValidation type="list" allowBlank="1" showInputMessage="1" showErrorMessage="1" sqref="B8" xr:uid="{00000000-0002-0000-0600-000000000000}">
      <formula1>"Alta,Moderada,Baja"</formula1>
    </dataValidation>
    <dataValidation type="list" allowBlank="1" showInputMessage="1" showErrorMessage="1" sqref="H2:H301" xr:uid="{00000000-0002-0000-0600-000001000000}">
      <formula1>"Long,Short"</formula1>
    </dataValidation>
    <dataValidation type="list" allowBlank="1" showInputMessage="1" showErrorMessage="1" sqref="E2:E301" xr:uid="{00000000-0002-0000-0600-000002000000}">
      <formula1>"1,2,3,4,5,6,7,8,9,10,11,12,13,14,15,16,17,18,19,20,21,22,23,24,25,26,27,28,29,30,31"</formula1>
    </dataValidation>
    <dataValidation type="list" allowBlank="1" showErrorMessage="1" promptTitle="Seleccione" prompt="Seleccione" sqref="G2:G301" xr:uid="{00000000-0002-0000-0600-000003000000}">
      <formula1>"Ida,Vuelta"</formula1>
    </dataValidation>
    <dataValidation type="list" allowBlank="1" showErrorMessage="1" promptTitle="Seleccione" prompt="Seleccione" sqref="F2:F301" xr:uid="{00000000-0002-0000-0600-000004000000}">
      <formula1>$M$2:$M$10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H410"/>
  <sheetViews>
    <sheetView zoomScaleNormal="100" workbookViewId="0">
      <selection activeCell="C1" sqref="C1"/>
    </sheetView>
  </sheetViews>
  <sheetFormatPr defaultColWidth="11.42578125" defaultRowHeight="15" x14ac:dyDescent="0.25"/>
  <cols>
    <col min="1" max="1" width="35.5703125" style="24" customWidth="1"/>
    <col min="2" max="2" width="12.28515625" style="24" bestFit="1" customWidth="1"/>
    <col min="3" max="3" width="4.42578125" style="24" customWidth="1"/>
    <col min="4" max="4" width="9.7109375" style="24" customWidth="1"/>
    <col min="5" max="5" width="9" style="24" customWidth="1"/>
    <col min="6" max="6" width="13" style="24" customWidth="1"/>
    <col min="7" max="7" width="10.7109375" style="24" customWidth="1"/>
    <col min="8" max="8" width="10.5703125" style="24" customWidth="1"/>
    <col min="9" max="9" width="12.5703125" style="24" customWidth="1"/>
    <col min="10" max="11" width="12.140625" style="24" customWidth="1"/>
    <col min="12" max="12" width="5" style="24" customWidth="1"/>
    <col min="13" max="13" width="19.85546875" style="24" customWidth="1"/>
    <col min="14" max="14" width="14.42578125" style="24" customWidth="1"/>
    <col min="15" max="15" width="13.28515625" style="24" customWidth="1"/>
    <col min="16" max="16" width="12" style="24" customWidth="1"/>
    <col min="17" max="17" width="13.42578125" style="24" customWidth="1"/>
    <col min="18" max="18" width="12" style="24" customWidth="1"/>
    <col min="19" max="19" width="18.5703125" style="24" customWidth="1"/>
    <col min="20" max="20" width="12.28515625" style="24" customWidth="1"/>
    <col min="21" max="21" width="12.42578125" style="24" customWidth="1"/>
    <col min="22" max="22" width="20.85546875" style="24" customWidth="1"/>
    <col min="23" max="16384" width="11.42578125" style="24"/>
  </cols>
  <sheetData>
    <row r="1" spans="1:19" ht="36" customHeight="1" x14ac:dyDescent="0.25">
      <c r="A1" s="7" t="s">
        <v>1</v>
      </c>
      <c r="B1" s="8"/>
      <c r="D1" s="13" t="s">
        <v>15</v>
      </c>
      <c r="E1" s="13" t="s">
        <v>13</v>
      </c>
      <c r="F1" s="13" t="s">
        <v>5</v>
      </c>
      <c r="G1" s="13" t="s">
        <v>21</v>
      </c>
      <c r="H1" s="13" t="s">
        <v>9</v>
      </c>
      <c r="I1" s="13" t="s">
        <v>11</v>
      </c>
      <c r="J1" s="13" t="s">
        <v>14</v>
      </c>
      <c r="K1" s="13" t="s">
        <v>44</v>
      </c>
      <c r="M1" s="25" t="s">
        <v>5</v>
      </c>
      <c r="N1" s="25" t="s">
        <v>3</v>
      </c>
      <c r="O1" s="25" t="s">
        <v>16</v>
      </c>
      <c r="P1" s="25" t="s">
        <v>17</v>
      </c>
      <c r="Q1" s="25" t="s">
        <v>7</v>
      </c>
      <c r="R1" s="25" t="s">
        <v>8</v>
      </c>
      <c r="S1" s="13" t="s">
        <v>0</v>
      </c>
    </row>
    <row r="2" spans="1:19" ht="15.75" x14ac:dyDescent="0.25">
      <c r="A2" s="2" t="s">
        <v>2</v>
      </c>
      <c r="B2" s="3">
        <f>SUM(B1,(SUM(J2:J999)))</f>
        <v>0</v>
      </c>
      <c r="D2" s="2">
        <v>1</v>
      </c>
      <c r="E2" s="6"/>
      <c r="F2" s="2"/>
      <c r="G2" s="2"/>
      <c r="H2" s="2"/>
      <c r="I2" s="2" t="str">
        <f>IF(J2="","",IF(J2&gt;3,"Ganado",IF(J2&lt;-3,"Perdido","Break Even")))</f>
        <v/>
      </c>
      <c r="J2" s="3"/>
      <c r="K2" s="5" t="str">
        <f>IFERROR(Tabla3413[[#This Row],[USD]]/$B$1,"")</f>
        <v/>
      </c>
      <c r="M2" s="26" t="s">
        <v>4</v>
      </c>
      <c r="N2" s="26">
        <f>COUNTIFS(F2:F999,"100x")</f>
        <v>0</v>
      </c>
      <c r="O2" s="27" t="str">
        <f>IFERROR((COUNTIFS(F2:F999,"100x",G2:G999,"Ida",I2:I999,"Ganado"))/(COUNTIFS(F2:F999,"100x",G2:G999,"Ida")),"Sin Datos")</f>
        <v>Sin Datos</v>
      </c>
      <c r="P2" s="27" t="str">
        <f>IFERROR((COUNTIFS(F2:F999,"100x",G2:G999,"Vuelta",I2:I999,"Ganado"))/(COUNTIFS(F2:F999,"100x",G2:G999,"Vuelta")),"Sin Datos")</f>
        <v>Sin Datos</v>
      </c>
      <c r="Q2" s="27" t="str">
        <f>IFERROR((COUNTIFS(F2:F999,"100x",H2:H999,"Long",I2:I999,"Ganado"))/(COUNTIFS(F2:F999,"100x",H2:H999,"Long")),"Sin Datos")</f>
        <v>Sin Datos</v>
      </c>
      <c r="R2" s="27" t="str">
        <f>IFERROR((COUNTIFS(F2:F999,"100x",H2:H999,"Short",I2:I999,"Ganado"))/(COUNTIFS(F2:F999,"100x",H2:H999,"Short")),"Sin Datos")</f>
        <v>Sin Datos</v>
      </c>
      <c r="S2" s="4" t="str">
        <f>IFERROR((COUNTIFS(F2:F999,"100x",I2:I999,"Ganado"))/(N2),"Sin Datos")</f>
        <v>Sin Datos</v>
      </c>
    </row>
    <row r="3" spans="1:19" ht="15.75" x14ac:dyDescent="0.25">
      <c r="A3" s="2" t="s">
        <v>45</v>
      </c>
      <c r="B3" s="3">
        <f>SUM(J2:J999)</f>
        <v>0</v>
      </c>
      <c r="D3" s="2">
        <v>2</v>
      </c>
      <c r="E3" s="6"/>
      <c r="F3" s="2"/>
      <c r="G3" s="2"/>
      <c r="H3" s="2"/>
      <c r="I3" s="2" t="str">
        <f t="shared" ref="I3:I66" si="0">IF(J3="","",IF(J3&gt;3,"Ganado",IF(J3&lt;-3,"Perdido","Break Even")))</f>
        <v/>
      </c>
      <c r="J3" s="3"/>
      <c r="K3" s="5" t="str">
        <f>IFERROR(Tabla3413[[#This Row],[USD]]/$B$1,"")</f>
        <v/>
      </c>
      <c r="M3" s="26" t="s">
        <v>22</v>
      </c>
      <c r="N3" s="2">
        <f>COUNTIFS(F2:F999,"50x")</f>
        <v>0</v>
      </c>
      <c r="O3" s="27" t="str">
        <f>IFERROR((COUNTIFS(F2:F999,"50x",G2:G999,"Ida",I2:I999,"Ganado"))/(COUNTIFS(F2:F999,"50x",G2:G999,"Ida")),"Sin Datos")</f>
        <v>Sin Datos</v>
      </c>
      <c r="P3" s="27" t="str">
        <f>IFERROR((COUNTIFS(F2:F999,"50x",G2:G999,"Vuelta",I2:I999,"Ganado"))/(COUNTIFS(F2:F999,"50x",G2:G999,"Vuelta")),"Sin Datos")</f>
        <v>Sin Datos</v>
      </c>
      <c r="Q3" s="27" t="str">
        <f>IFERROR((COUNTIFS(F2:F999,"50x",H2:H999,"Long",I2:I999,"Ganado"))/(COUNTIFS(F2:F999,"50x",H2:H999,"Long")),"Sin Datos")</f>
        <v>Sin Datos</v>
      </c>
      <c r="R3" s="27" t="str">
        <f>IFERROR((COUNTIFS(F2:F999,"50x",H2:H999,"Short",I2:I999,"Ganado"))/(COUNTIFS(F2:F999,"50x",H2:H999,"Short")),"Sin Datos")</f>
        <v>Sin Datos</v>
      </c>
      <c r="S3" s="4" t="str">
        <f>IFERROR((COUNTIFS(F2:F999,"50x",I2:I999,"Ganado"))/(N3),"Sin Datos")</f>
        <v>Sin Datos</v>
      </c>
    </row>
    <row r="4" spans="1:19" ht="15.75" x14ac:dyDescent="0.25">
      <c r="A4" s="2" t="s">
        <v>43</v>
      </c>
      <c r="B4" s="3">
        <f>SUM(SUMIFS(J2:J999,F2:F999,"100x"),SUMIFS(J2:J999,F2:F999,"50x"),SUMIFS(J2:J999,F2:F999,"25x"),SUMIFS(J2:J999,F2:F999,"10x"),SUMIFS(J2:J999,F2:F999,"5x"))</f>
        <v>0</v>
      </c>
      <c r="D4" s="2">
        <v>3</v>
      </c>
      <c r="E4" s="6"/>
      <c r="F4" s="2"/>
      <c r="G4" s="2"/>
      <c r="H4" s="2"/>
      <c r="I4" s="2" t="str">
        <f t="shared" si="0"/>
        <v/>
      </c>
      <c r="J4" s="3"/>
      <c r="K4" s="5" t="str">
        <f>IFERROR(Tabla3413[[#This Row],[USD]]/$B$1,"")</f>
        <v/>
      </c>
      <c r="M4" s="26" t="s">
        <v>23</v>
      </c>
      <c r="N4" s="26">
        <f>COUNTIFS(F2:F999,"25x")</f>
        <v>0</v>
      </c>
      <c r="O4" s="27" t="str">
        <f>IFERROR((COUNTIFS(F2:F999,"25x",G2:G999,"Ida",I2:I999,"Ganado"))/(COUNTIFS(F2:F999,"25x",G2:G999,"Ida")),"Sin Datos")</f>
        <v>Sin Datos</v>
      </c>
      <c r="P4" s="27" t="str">
        <f>IFERROR((COUNTIFS(F2:F999,"25x",G2:G999,"Vuelta",I2:I999,"Ganado"))/(COUNTIFS(F2:F999,"25x",G2:G999,"Vuelta")),"Sin Datos")</f>
        <v>Sin Datos</v>
      </c>
      <c r="Q4" s="27" t="str">
        <f>IFERROR((COUNTIFS(F2:F999,"25x",H2:H999,"Long",I2:I999,"Ganado"))/(COUNTIFS(F2:F999,"25x",H2:H999,"Long")),"Sin Datos")</f>
        <v>Sin Datos</v>
      </c>
      <c r="R4" s="27" t="str">
        <f>IFERROR((COUNTIFS(F2:F999,"25x",H2:H999,"Short",I2:I999,"Ganado"))/(COUNTIFS(F2:F999,"25x",H2:H999,"Short")),"Sin Datos")</f>
        <v>Sin Datos</v>
      </c>
      <c r="S4" s="4" t="str">
        <f>IFERROR((COUNTIFS(F2:F999,"25x",I2:I999,"Ganado"))/(N4),"Sin Datos")</f>
        <v>Sin Datos</v>
      </c>
    </row>
    <row r="5" spans="1:19" ht="15.75" x14ac:dyDescent="0.25">
      <c r="A5" s="2" t="s">
        <v>42</v>
      </c>
      <c r="B5" s="3">
        <f>SUM(SUMIFS(J2:J999,F2:F999,"BatiBot"),SUMIFS(J2:J999,F2:F999,"WolfiBot"),SUMIFS(J2:J999,F2:F999,"CondorBot"))</f>
        <v>0</v>
      </c>
      <c r="D5" s="2">
        <v>4</v>
      </c>
      <c r="E5" s="6"/>
      <c r="F5" s="2"/>
      <c r="G5" s="2"/>
      <c r="H5" s="2"/>
      <c r="I5" s="2" t="str">
        <f t="shared" si="0"/>
        <v/>
      </c>
      <c r="J5" s="3"/>
      <c r="K5" s="5" t="str">
        <f>IFERROR(Tabla3413[[#This Row],[USD]]/$B$1,"")</f>
        <v/>
      </c>
      <c r="M5" s="2" t="s">
        <v>24</v>
      </c>
      <c r="N5" s="2">
        <f>COUNTIFS(F2:F999,"10x")</f>
        <v>0</v>
      </c>
      <c r="O5" s="27" t="str">
        <f>IFERROR((COUNTIFS(F2:F999,"10x",G2:G999,"Ida",I2:I999,"Ganado"))/(COUNTIFS(F2:F999,"10x",G2:G999,"Ida")),"Sin Datos")</f>
        <v>Sin Datos</v>
      </c>
      <c r="P5" s="27" t="str">
        <f>IFERROR((COUNTIFS(F2:F999,"10x",G2:G999,"Vuelta",I2:I999,"Ganado"))/(COUNTIFS(F2:F999,"10x",G2:G999,"Vuelta")),"Sin Datos")</f>
        <v>Sin Datos</v>
      </c>
      <c r="Q5" s="27" t="str">
        <f>IFERROR((COUNTIFS(F2:F999,"10x",H2:H999,"Long",I2:I999,"Ganado"))/(COUNTIFS(F2:F999,"10x",H2:H999,"Long")),"Sin Datos")</f>
        <v>Sin Datos</v>
      </c>
      <c r="R5" s="27" t="str">
        <f>IFERROR((COUNTIFS(F2:F999,"10x",H2:H999,"Short",I2:I999,"Ganado"))/(COUNTIFS(F2:F999,"10x",H2:H999,"Short")),"Sin Datos")</f>
        <v>Sin Datos</v>
      </c>
      <c r="S5" s="4" t="str">
        <f>IFERROR((COUNTIFS(F2:F999,"10x",I2:I999,"Ganado"))/(N5),"Sin Datos")</f>
        <v>Sin Datos</v>
      </c>
    </row>
    <row r="6" spans="1:19" ht="15.75" x14ac:dyDescent="0.25">
      <c r="A6" s="2" t="s">
        <v>41</v>
      </c>
      <c r="B6" s="3">
        <f>SUMIFS(J2:J999,F2:F999,"Otras")</f>
        <v>0</v>
      </c>
      <c r="D6" s="2">
        <v>5</v>
      </c>
      <c r="E6" s="6"/>
      <c r="F6" s="2"/>
      <c r="G6" s="2"/>
      <c r="H6" s="2"/>
      <c r="I6" s="2" t="str">
        <f t="shared" si="0"/>
        <v/>
      </c>
      <c r="J6" s="3"/>
      <c r="K6" s="5" t="str">
        <f>IFERROR(Tabla3413[[#This Row],[USD]]/$B$1,"")</f>
        <v/>
      </c>
      <c r="M6" s="2" t="s">
        <v>33</v>
      </c>
      <c r="N6" s="6">
        <f>COUNTIFS(F2:F999,"5x")</f>
        <v>0</v>
      </c>
      <c r="O6" s="27" t="str">
        <f>IFERROR((COUNTIFS(F2:F999,"5x",G2:G999,"Ida",I2:I999,"Ganado"))/(COUNTIFS(F2:F999,"5x",G2:G999,"Ida")),"Sin Datos")</f>
        <v>Sin Datos</v>
      </c>
      <c r="P6" s="27" t="str">
        <f>IFERROR((COUNTIFS(F2:F999,"5x",G2:G999,"Vuelta",I2:I999,"Ganado"))/(COUNTIFS(F2:F999,"5x",G2:G999,"Vuelta")),"Sin Datos")</f>
        <v>Sin Datos</v>
      </c>
      <c r="Q6" s="27" t="str">
        <f>IFERROR((COUNTIFS(F2:F999,"5x",H2:H999,"Long",I2:I999,"Ganado"))/(COUNTIFS(F2:F999,"5x",H2:H999,"Long")),"Sin Datos")</f>
        <v>Sin Datos</v>
      </c>
      <c r="R6" s="27" t="str">
        <f>IFERROR((COUNTIFS(F2:F999,"5x",H2:H999,"Short",I2:I999,"Ganado"))/(COUNTIFS(F2:F999,"5x",H2:H999,"Short")),"Sin Datos")</f>
        <v>Sin Datos</v>
      </c>
      <c r="S6" s="4" t="str">
        <f>IFERROR((COUNTIFS(F2:F999,"5x",I2:I999,"Ganado"))/(N6),"Sin Datos")</f>
        <v>Sin Datos</v>
      </c>
    </row>
    <row r="7" spans="1:19" ht="15.75" x14ac:dyDescent="0.25">
      <c r="A7" s="2" t="s">
        <v>40</v>
      </c>
      <c r="B7" s="3">
        <f>IFERROR((B3/SUM(IF(FREQUENCY(E2:E999,E2:E999),1))),0)</f>
        <v>0</v>
      </c>
      <c r="D7" s="2">
        <v>6</v>
      </c>
      <c r="E7" s="6"/>
      <c r="F7" s="2"/>
      <c r="G7" s="2"/>
      <c r="H7" s="2"/>
      <c r="I7" s="2" t="str">
        <f t="shared" si="0"/>
        <v/>
      </c>
      <c r="J7" s="3"/>
      <c r="K7" s="5" t="str">
        <f>IFERROR(Tabla3413[[#This Row],[USD]]/$B$1,"")</f>
        <v/>
      </c>
      <c r="M7" s="26" t="s">
        <v>19</v>
      </c>
      <c r="N7" s="26">
        <f>COUNTIFS(F2:F999,"BatiBot")</f>
        <v>0</v>
      </c>
      <c r="O7" s="27" t="str">
        <f>IFERROR((COUNTIFS(F2:F999,"BatiBot",G2:G999,"Ida",I2:I999,"Ganado"))/(COUNTIFS(F2:F999,"BatiBot",G2:G999,"Ida")),"Sin Datos")</f>
        <v>Sin Datos</v>
      </c>
      <c r="P7" s="27" t="str">
        <f>IFERROR((COUNTIFS(F2:F999,"BatiBot",G2:G999,"Vuelta",I2:I999,"Ganado"))/(COUNTIFS(F2:F999,"BatiBot",G2:G999,"Vuelta")),"Sin Datos")</f>
        <v>Sin Datos</v>
      </c>
      <c r="Q7" s="27" t="str">
        <f>IFERROR((COUNTIFS(F2:F999,"BatiBot",H2:H999,"Long",I2:I999,"Ganado"))/(COUNTIFS(F2:F999,"BatiBot",H2:H999,"Long")),"Sin Datos")</f>
        <v>Sin Datos</v>
      </c>
      <c r="R7" s="27" t="str">
        <f>IFERROR((COUNTIFS(F2:F999,"BatiBot",H2:H999,"Short",I2:I999,"Ganado"))/(COUNTIFS(F2:F999,"BatiBot",H2:H999,"Short")),"Sin Datos")</f>
        <v>Sin Datos</v>
      </c>
      <c r="S7" s="4" t="str">
        <f>IFERROR((COUNTIFS(F2:F999,"BatiBot",I2:I999,"Ganado"))/(N7),"Sin Datos")</f>
        <v>Sin Datos</v>
      </c>
    </row>
    <row r="8" spans="1:19" ht="15.75" x14ac:dyDescent="0.25">
      <c r="A8" s="2" t="s">
        <v>20</v>
      </c>
      <c r="B8" s="2"/>
      <c r="D8" s="2">
        <v>7</v>
      </c>
      <c r="E8" s="6"/>
      <c r="F8" s="2"/>
      <c r="G8" s="2"/>
      <c r="H8" s="2"/>
      <c r="I8" s="2" t="str">
        <f t="shared" si="0"/>
        <v/>
      </c>
      <c r="J8" s="3"/>
      <c r="K8" s="5" t="str">
        <f>IFERROR(Tabla3413[[#This Row],[USD]]/$B$1,"")</f>
        <v/>
      </c>
      <c r="M8" s="2" t="s">
        <v>18</v>
      </c>
      <c r="N8" s="2">
        <f>COUNTIFS(F2:F999,"WolfiBot")</f>
        <v>0</v>
      </c>
      <c r="O8" s="27" t="str">
        <f>IFERROR((COUNTIFS(F2:F999,"WolfiBot",G2:G999,"Ida",I2:I999,"Ganado"))/(COUNTIFS(F2:F999,"WolfiBot",G2:G999,"Ida")),"Sin Datos")</f>
        <v>Sin Datos</v>
      </c>
      <c r="P8" s="27" t="str">
        <f>IFERROR((COUNTIFS(F2:F999,"WolfiBot",G2:G999,"Vuelta",I2:I999,"Ganado"))/(COUNTIFS(F2:F999,"WolfiBot",G2:G999,"Vuelta")),"Sin Datos")</f>
        <v>Sin Datos</v>
      </c>
      <c r="Q8" s="27" t="str">
        <f>IFERROR((COUNTIFS(F2:F999,"WolfiBot",H2:H999,"Long",I2:I999,"Ganado"))/(COUNTIFS(F2:F999,"WolfiBot",H2:H999,"Long")),"Sin Datos")</f>
        <v>Sin Datos</v>
      </c>
      <c r="R8" s="27" t="str">
        <f>IFERROR((COUNTIFS(F2:F999,"WolfiBot",H2:H999,"Short",I2:I999,"Ganado"))/(COUNTIFS(F2:F999,"WolfiBot",H2:H999,"Short")),"Sin Datos")</f>
        <v>Sin Datos</v>
      </c>
      <c r="S8" s="4" t="str">
        <f>IFERROR((COUNTIFS(F2:F999,"WolfiBot",I2:I999,"Ganado"))/(N8),"Sin Datos")</f>
        <v>Sin Datos</v>
      </c>
    </row>
    <row r="9" spans="1:19" ht="15.75" x14ac:dyDescent="0.25">
      <c r="A9" s="2" t="s">
        <v>12</v>
      </c>
      <c r="B9" s="2">
        <f>N11</f>
        <v>0</v>
      </c>
      <c r="D9" s="2">
        <v>8</v>
      </c>
      <c r="E9" s="6"/>
      <c r="F9" s="2"/>
      <c r="G9" s="2"/>
      <c r="H9" s="2"/>
      <c r="I9" s="2" t="str">
        <f t="shared" si="0"/>
        <v/>
      </c>
      <c r="J9" s="3"/>
      <c r="K9" s="5" t="str">
        <f>IFERROR(Tabla3413[[#This Row],[USD]]/$B$1,"")</f>
        <v/>
      </c>
      <c r="M9" s="26" t="s">
        <v>25</v>
      </c>
      <c r="N9" s="2">
        <f>COUNTIFS(F2:F999,"CondorBot")</f>
        <v>0</v>
      </c>
      <c r="O9" s="27" t="str">
        <f>IFERROR((COUNTIFS(F2:F999,"CondorBot",G2:G999,"Ida",I2:I999,"Ganado"))/(COUNTIFS(F2:F999,"CondorBot",G2:G999,"Ida")),"Sin Datos")</f>
        <v>Sin Datos</v>
      </c>
      <c r="P9" s="27" t="str">
        <f>IFERROR((COUNTIFS(F2:F999,"CondorBot",G2:G999,"Vuelta",I2:I999,"Ganado"))/(COUNTIFS(F2:F999,"CondorBot",G2:G999,"Vuelta")),"Sin Datos")</f>
        <v>Sin Datos</v>
      </c>
      <c r="Q9" s="27" t="str">
        <f>IFERROR((COUNTIFS(F2:F999,"CondorBot",H2:H999,"Long",I2:I999,"Ganado"))/(COUNTIFS(F2:F999,"CondorBot",H2:H999,"Long")),"Sin Datos")</f>
        <v>Sin Datos</v>
      </c>
      <c r="R9" s="27" t="str">
        <f>IFERROR((COUNTIFS(F2:F999,"CondorBot",H2:H999,"Short",I2:I999,"Ganado"))/(COUNTIFS(F2:F999,"CondorBot",H2:H999,"Short")),"Sin Datos")</f>
        <v>Sin Datos</v>
      </c>
      <c r="S9" s="4" t="str">
        <f>IFERROR((COUNTIFS(F2:F999,"CondorBot",I2:I999,"Ganado"))/(N9),"Sin Datos")</f>
        <v>Sin Datos</v>
      </c>
    </row>
    <row r="10" spans="1:19" ht="15.75" x14ac:dyDescent="0.25">
      <c r="A10" s="2" t="s">
        <v>31</v>
      </c>
      <c r="B10" s="2">
        <f>SUM(N2:N6)</f>
        <v>0</v>
      </c>
      <c r="D10" s="2">
        <v>9</v>
      </c>
      <c r="E10" s="6"/>
      <c r="F10" s="2"/>
      <c r="G10" s="2"/>
      <c r="H10" s="2"/>
      <c r="I10" s="2" t="str">
        <f t="shared" si="0"/>
        <v/>
      </c>
      <c r="J10" s="3"/>
      <c r="K10" s="5" t="str">
        <f>IFERROR(Tabla3413[[#This Row],[USD]]/$B$1,"")</f>
        <v/>
      </c>
      <c r="M10" s="26" t="s">
        <v>34</v>
      </c>
      <c r="N10" s="6">
        <f>COUNTIFS(F2:F999,"Otras")</f>
        <v>0</v>
      </c>
      <c r="O10" s="27" t="str">
        <f>IFERROR((COUNTIFS(F2:F999,"Otras",G2:G999,"Ida",I2:I999,"Ganado"))/(COUNTIFS(F2:F999,"Otras",G2:G999,"Ida")),"Sin Datos")</f>
        <v>Sin Datos</v>
      </c>
      <c r="P10" s="27" t="str">
        <f>IFERROR((COUNTIFS(F2:F999,"Otras",G2:G999,"Vuelta",I2:I999,"Ganado"))/(COUNTIFS(F2:F999,"Otras",G2:G999,"Vuelta")),"Sin Datos")</f>
        <v>Sin Datos</v>
      </c>
      <c r="Q10" s="27" t="str">
        <f>IFERROR((COUNTIFS(F2:F999,"Otras",H2:H999,"Long",I2:I999,"Ganado"))/(COUNTIFS(F2:F999,"Otras",H2:H999,"Long")),"Sin Datos")</f>
        <v>Sin Datos</v>
      </c>
      <c r="R10" s="27" t="str">
        <f>IFERROR((COUNTIFS(F2:F999,"Otras",H2:H999,"Short",I2:I999,"Ganado"))/(COUNTIFS(F2:F999,"Otras",H2:H999,"Short")),"Sin Datos")</f>
        <v>Sin Datos</v>
      </c>
      <c r="S10" s="4" t="str">
        <f>IFERROR((COUNTIFS(F2:F999,"Otras",I2:I999,"Ganado"))/(N10),"Sin Datos")</f>
        <v>Sin Datos</v>
      </c>
    </row>
    <row r="11" spans="1:19" ht="18.75" x14ac:dyDescent="0.25">
      <c r="A11" s="2" t="s">
        <v>32</v>
      </c>
      <c r="B11" s="2">
        <f>SUM(N7:N9)</f>
        <v>0</v>
      </c>
      <c r="D11" s="2">
        <v>10</v>
      </c>
      <c r="E11" s="6"/>
      <c r="F11" s="2"/>
      <c r="G11" s="2"/>
      <c r="H11" s="2"/>
      <c r="I11" s="2" t="str">
        <f t="shared" si="0"/>
        <v/>
      </c>
      <c r="J11" s="3"/>
      <c r="K11" s="5" t="str">
        <f>IFERROR(Tabla3413[[#This Row],[USD]]/$B$1,"")</f>
        <v/>
      </c>
      <c r="M11" s="28" t="s">
        <v>6</v>
      </c>
      <c r="N11" s="28">
        <f>COUNT(J2:J999)</f>
        <v>0</v>
      </c>
      <c r="O11" s="29" t="str">
        <f>IFERROR((COUNTIFS(G2:G999,"Ida",I2:I999,"Ganado"))/(COUNTIFS(G2:G999,"Ida")),"Sin Datos")</f>
        <v>Sin Datos</v>
      </c>
      <c r="P11" s="29" t="str">
        <f>IFERROR((COUNTIFS(G2:G999,"Vuelta",I2:I999,"Ganado"))/(COUNTIFS(G2:G999,"Vuelta")),"Sin Datos")</f>
        <v>Sin Datos</v>
      </c>
      <c r="Q11" s="29" t="str">
        <f>IFERROR((COUNTIFS(H2:H999,"Long",I2:I999,"Ganado"))/(COUNTIFS(H2:H999,"Long")),"Sin Datos")</f>
        <v>Sin Datos</v>
      </c>
      <c r="R11" s="29" t="str">
        <f>IFERROR((COUNTIFS(H2:H999,"Short",I2:I999,"Ganado"))/(COUNTIFS(H2:H999,"Short")),"Sin Datos")</f>
        <v>Sin Datos</v>
      </c>
      <c r="S11" s="29" t="str">
        <f>IFERROR((COUNTIF(I2:I999,"Ganado"))/(N11),"Sin Datos")</f>
        <v>Sin Datos</v>
      </c>
    </row>
    <row r="12" spans="1:19" ht="15.75" x14ac:dyDescent="0.25">
      <c r="A12" s="2" t="s">
        <v>36</v>
      </c>
      <c r="B12" s="2">
        <f>N10</f>
        <v>0</v>
      </c>
      <c r="D12" s="2">
        <v>11</v>
      </c>
      <c r="E12" s="6"/>
      <c r="F12" s="2"/>
      <c r="G12" s="2"/>
      <c r="H12" s="2"/>
      <c r="I12" s="2" t="str">
        <f t="shared" si="0"/>
        <v/>
      </c>
      <c r="J12" s="3"/>
      <c r="K12" s="5" t="str">
        <f>IFERROR(Tabla3413[[#This Row],[USD]]/$B$1,"")</f>
        <v/>
      </c>
    </row>
    <row r="13" spans="1:19" ht="15.75" x14ac:dyDescent="0.25">
      <c r="A13" s="2" t="s">
        <v>10</v>
      </c>
      <c r="B13" s="4" t="str">
        <f>S11</f>
        <v>Sin Datos</v>
      </c>
      <c r="D13" s="2">
        <v>12</v>
      </c>
      <c r="E13" s="6"/>
      <c r="F13" s="2"/>
      <c r="G13" s="2"/>
      <c r="H13" s="2"/>
      <c r="I13" s="2" t="str">
        <f t="shared" si="0"/>
        <v/>
      </c>
      <c r="J13" s="3"/>
      <c r="K13" s="5" t="str">
        <f>IFERROR(Tabla3413[[#This Row],[USD]]/$B$1,"")</f>
        <v/>
      </c>
      <c r="M13" s="85" t="s">
        <v>38</v>
      </c>
      <c r="N13" s="85"/>
      <c r="O13" s="1"/>
      <c r="R13" s="30"/>
    </row>
    <row r="14" spans="1:19" ht="15.75" x14ac:dyDescent="0.25">
      <c r="A14" s="2" t="s">
        <v>29</v>
      </c>
      <c r="B14" s="4" t="str">
        <f>IFERROR(AVERAGE(S2:S6),"Sin Datos")</f>
        <v>Sin Datos</v>
      </c>
      <c r="D14" s="2">
        <v>13</v>
      </c>
      <c r="E14" s="6"/>
      <c r="F14" s="2"/>
      <c r="G14" s="2"/>
      <c r="H14" s="2"/>
      <c r="I14" s="2" t="str">
        <f t="shared" si="0"/>
        <v/>
      </c>
      <c r="J14" s="3"/>
      <c r="K14" s="5" t="str">
        <f>IFERROR(Tabla3413[[#This Row],[USD]]/$B$1,"")</f>
        <v/>
      </c>
      <c r="M14" s="2" t="s">
        <v>39</v>
      </c>
      <c r="N14" s="2"/>
      <c r="O14" s="1"/>
    </row>
    <row r="15" spans="1:19" ht="15.75" x14ac:dyDescent="0.25">
      <c r="A15" s="2" t="s">
        <v>30</v>
      </c>
      <c r="B15" s="4" t="str">
        <f>IFERROR(AVERAGE(S7:S9),"Sin Datos")</f>
        <v>Sin Datos</v>
      </c>
      <c r="D15" s="2">
        <v>14</v>
      </c>
      <c r="E15" s="6"/>
      <c r="F15" s="2"/>
      <c r="G15" s="2"/>
      <c r="H15" s="2"/>
      <c r="I15" s="2" t="str">
        <f t="shared" si="0"/>
        <v/>
      </c>
      <c r="J15" s="3"/>
      <c r="K15" s="5" t="str">
        <f>IFERROR(Tabla3413[[#This Row],[USD]]/$B$1,"")</f>
        <v/>
      </c>
      <c r="M15" s="2" t="s">
        <v>37</v>
      </c>
      <c r="N15" s="2"/>
      <c r="O15" s="1"/>
    </row>
    <row r="16" spans="1:19" ht="15.75" x14ac:dyDescent="0.25">
      <c r="A16" s="2" t="s">
        <v>35</v>
      </c>
      <c r="B16" s="4" t="str">
        <f>S10</f>
        <v>Sin Datos</v>
      </c>
      <c r="D16" s="2">
        <v>15</v>
      </c>
      <c r="E16" s="6"/>
      <c r="F16" s="2"/>
      <c r="G16" s="2"/>
      <c r="H16" s="2"/>
      <c r="I16" s="2" t="str">
        <f t="shared" si="0"/>
        <v/>
      </c>
      <c r="J16" s="3"/>
      <c r="K16" s="5" t="str">
        <f>IFERROR(Tabla3413[[#This Row],[USD]]/$B$1,"")</f>
        <v/>
      </c>
      <c r="M16" s="2" t="s">
        <v>11</v>
      </c>
      <c r="N16" s="2">
        <f>(N15*N14)</f>
        <v>0</v>
      </c>
      <c r="O16" s="1"/>
    </row>
    <row r="17" spans="1:11" ht="15.75" x14ac:dyDescent="0.25">
      <c r="A17" s="2" t="s">
        <v>46</v>
      </c>
      <c r="B17" s="5">
        <f>AVERAGE(SUM(K2:K999))</f>
        <v>0</v>
      </c>
      <c r="D17" s="2">
        <v>16</v>
      </c>
      <c r="E17" s="6"/>
      <c r="F17" s="2"/>
      <c r="G17" s="2"/>
      <c r="H17" s="2"/>
      <c r="I17" s="2" t="str">
        <f t="shared" si="0"/>
        <v/>
      </c>
      <c r="J17" s="3"/>
      <c r="K17" s="5" t="str">
        <f>IFERROR(Tabla3413[[#This Row],[USD]]/$B$1,"")</f>
        <v/>
      </c>
    </row>
    <row r="18" spans="1:11" ht="15.75" x14ac:dyDescent="0.25">
      <c r="A18" s="2" t="s">
        <v>47</v>
      </c>
      <c r="B18" s="5">
        <f>SUM(SUMIFS(K2:K999,F2:F999,"100x"),SUMIFS(K2:K999,F2:F999,"50x"),SUMIFS(K2:K999,F2:F999,"25x"),SUMIFS(K2:K999,F2:F999,"10x"),SUMIFS(K2:K999,F2:F999,"5x"))</f>
        <v>0</v>
      </c>
      <c r="D18" s="2">
        <v>17</v>
      </c>
      <c r="E18" s="6"/>
      <c r="F18" s="2"/>
      <c r="G18" s="2"/>
      <c r="H18" s="2"/>
      <c r="I18" s="2" t="str">
        <f t="shared" si="0"/>
        <v/>
      </c>
      <c r="J18" s="3"/>
      <c r="K18" s="5" t="str">
        <f>IFERROR(Tabla3413[[#This Row],[USD]]/$B$1,"")</f>
        <v/>
      </c>
    </row>
    <row r="19" spans="1:11" ht="15.75" x14ac:dyDescent="0.25">
      <c r="A19" s="2" t="s">
        <v>48</v>
      </c>
      <c r="B19" s="5">
        <f>SUM(SUMIFS(K2:K999,F2:F999,"BatiBot"),SUMIFS(K2:K999,F2:F999,"WolfiBot"),SUMIFS(K2:K999,F2:F999,"CondorBot"))</f>
        <v>0</v>
      </c>
      <c r="D19" s="2">
        <v>18</v>
      </c>
      <c r="E19" s="6"/>
      <c r="F19" s="2"/>
      <c r="G19" s="2"/>
      <c r="H19" s="2"/>
      <c r="I19" s="2" t="str">
        <f t="shared" si="0"/>
        <v/>
      </c>
      <c r="J19" s="3"/>
      <c r="K19" s="5" t="str">
        <f>IFERROR(Tabla3413[[#This Row],[USD]]/$B$1,"")</f>
        <v/>
      </c>
    </row>
    <row r="20" spans="1:11" ht="15.75" x14ac:dyDescent="0.25">
      <c r="A20" s="2" t="s">
        <v>49</v>
      </c>
      <c r="B20" s="5">
        <f>SUMIFS(K2:K999,F2:F999,"Otras")</f>
        <v>0</v>
      </c>
      <c r="D20" s="2">
        <v>19</v>
      </c>
      <c r="E20" s="6"/>
      <c r="F20" s="2"/>
      <c r="G20" s="2"/>
      <c r="H20" s="2"/>
      <c r="I20" s="2" t="str">
        <f t="shared" si="0"/>
        <v/>
      </c>
      <c r="J20" s="3"/>
      <c r="K20" s="5" t="str">
        <f>IFERROR(Tabla3413[[#This Row],[USD]]/$B$1,"")</f>
        <v/>
      </c>
    </row>
    <row r="21" spans="1:11" ht="15.75" x14ac:dyDescent="0.25">
      <c r="D21" s="2">
        <v>20</v>
      </c>
      <c r="E21" s="6"/>
      <c r="F21" s="2"/>
      <c r="G21" s="2"/>
      <c r="H21" s="2"/>
      <c r="I21" s="2" t="str">
        <f t="shared" si="0"/>
        <v/>
      </c>
      <c r="J21" s="3"/>
      <c r="K21" s="5" t="str">
        <f>IFERROR(Tabla3413[[#This Row],[USD]]/$B$1,"")</f>
        <v/>
      </c>
    </row>
    <row r="22" spans="1:11" ht="15.75" x14ac:dyDescent="0.25">
      <c r="D22" s="2">
        <v>21</v>
      </c>
      <c r="E22" s="6"/>
      <c r="F22" s="2"/>
      <c r="G22" s="2"/>
      <c r="H22" s="2"/>
      <c r="I22" s="2" t="str">
        <f t="shared" si="0"/>
        <v/>
      </c>
      <c r="J22" s="3"/>
      <c r="K22" s="5" t="str">
        <f>IFERROR(Tabla3413[[#This Row],[USD]]/$B$1,"")</f>
        <v/>
      </c>
    </row>
    <row r="23" spans="1:11" ht="15.75" x14ac:dyDescent="0.25">
      <c r="D23" s="2">
        <v>22</v>
      </c>
      <c r="E23" s="6"/>
      <c r="F23" s="2"/>
      <c r="G23" s="2"/>
      <c r="H23" s="2"/>
      <c r="I23" s="2" t="str">
        <f t="shared" si="0"/>
        <v/>
      </c>
      <c r="J23" s="3"/>
      <c r="K23" s="5" t="str">
        <f>IFERROR(Tabla3413[[#This Row],[USD]]/$B$1,"")</f>
        <v/>
      </c>
    </row>
    <row r="24" spans="1:11" ht="15.75" x14ac:dyDescent="0.25">
      <c r="D24" s="2">
        <v>23</v>
      </c>
      <c r="E24" s="6"/>
      <c r="F24" s="2"/>
      <c r="G24" s="2"/>
      <c r="H24" s="2"/>
      <c r="I24" s="2" t="str">
        <f t="shared" si="0"/>
        <v/>
      </c>
      <c r="J24" s="3"/>
      <c r="K24" s="5" t="str">
        <f>IFERROR(Tabla3413[[#This Row],[USD]]/$B$1,"")</f>
        <v/>
      </c>
    </row>
    <row r="25" spans="1:11" ht="15.75" x14ac:dyDescent="0.25">
      <c r="D25" s="2">
        <v>24</v>
      </c>
      <c r="E25" s="6"/>
      <c r="F25" s="2"/>
      <c r="G25" s="2"/>
      <c r="H25" s="2"/>
      <c r="I25" s="2" t="str">
        <f t="shared" si="0"/>
        <v/>
      </c>
      <c r="J25" s="3"/>
      <c r="K25" s="5" t="str">
        <f>IFERROR(Tabla3413[[#This Row],[USD]]/$B$1,"")</f>
        <v/>
      </c>
    </row>
    <row r="26" spans="1:11" ht="15.75" x14ac:dyDescent="0.25">
      <c r="D26" s="2">
        <v>25</v>
      </c>
      <c r="E26" s="6"/>
      <c r="F26" s="2"/>
      <c r="G26" s="2"/>
      <c r="H26" s="2"/>
      <c r="I26" s="2" t="str">
        <f t="shared" si="0"/>
        <v/>
      </c>
      <c r="J26" s="3"/>
      <c r="K26" s="5" t="str">
        <f>IFERROR(Tabla3413[[#This Row],[USD]]/$B$1,"")</f>
        <v/>
      </c>
    </row>
    <row r="27" spans="1:11" ht="15.75" x14ac:dyDescent="0.25">
      <c r="D27" s="2">
        <v>26</v>
      </c>
      <c r="E27" s="6"/>
      <c r="F27" s="2"/>
      <c r="G27" s="2"/>
      <c r="H27" s="2"/>
      <c r="I27" s="2" t="str">
        <f t="shared" si="0"/>
        <v/>
      </c>
      <c r="J27" s="3"/>
      <c r="K27" s="5" t="str">
        <f>IFERROR(Tabla3413[[#This Row],[USD]]/$B$1,"")</f>
        <v/>
      </c>
    </row>
    <row r="28" spans="1:11" ht="15.75" x14ac:dyDescent="0.25">
      <c r="D28" s="2">
        <v>27</v>
      </c>
      <c r="E28" s="6"/>
      <c r="F28" s="2"/>
      <c r="G28" s="2"/>
      <c r="H28" s="2"/>
      <c r="I28" s="2" t="str">
        <f t="shared" si="0"/>
        <v/>
      </c>
      <c r="J28" s="3"/>
      <c r="K28" s="5" t="str">
        <f>IFERROR(Tabla3413[[#This Row],[USD]]/$B$1,"")</f>
        <v/>
      </c>
    </row>
    <row r="29" spans="1:11" ht="15.75" x14ac:dyDescent="0.25">
      <c r="D29" s="2">
        <v>28</v>
      </c>
      <c r="E29" s="6"/>
      <c r="F29" s="2"/>
      <c r="G29" s="2"/>
      <c r="H29" s="2"/>
      <c r="I29" s="2" t="str">
        <f t="shared" si="0"/>
        <v/>
      </c>
      <c r="J29" s="3"/>
      <c r="K29" s="5" t="str">
        <f>IFERROR(Tabla3413[[#This Row],[USD]]/$B$1,"")</f>
        <v/>
      </c>
    </row>
    <row r="30" spans="1:11" ht="15.75" x14ac:dyDescent="0.25">
      <c r="D30" s="2">
        <v>29</v>
      </c>
      <c r="E30" s="6"/>
      <c r="F30" s="2"/>
      <c r="G30" s="2"/>
      <c r="H30" s="2"/>
      <c r="I30" s="2" t="str">
        <f t="shared" si="0"/>
        <v/>
      </c>
      <c r="J30" s="3"/>
      <c r="K30" s="5" t="str">
        <f>IFERROR(Tabla3413[[#This Row],[USD]]/$B$1,"")</f>
        <v/>
      </c>
    </row>
    <row r="31" spans="1:11" ht="15.75" x14ac:dyDescent="0.25">
      <c r="D31" s="2">
        <v>30</v>
      </c>
      <c r="E31" s="6"/>
      <c r="F31" s="2"/>
      <c r="G31" s="2"/>
      <c r="H31" s="2"/>
      <c r="I31" s="2" t="str">
        <f t="shared" si="0"/>
        <v/>
      </c>
      <c r="J31" s="3"/>
      <c r="K31" s="5" t="str">
        <f>IFERROR(Tabla3413[[#This Row],[USD]]/$B$1,"")</f>
        <v/>
      </c>
    </row>
    <row r="32" spans="1:11" ht="15.75" x14ac:dyDescent="0.25">
      <c r="D32" s="2">
        <v>31</v>
      </c>
      <c r="E32" s="6"/>
      <c r="F32" s="2"/>
      <c r="G32" s="2"/>
      <c r="H32" s="2"/>
      <c r="I32" s="2" t="str">
        <f t="shared" si="0"/>
        <v/>
      </c>
      <c r="J32" s="3"/>
      <c r="K32" s="5" t="str">
        <f>IFERROR(Tabla3413[[#This Row],[USD]]/$B$1,"")</f>
        <v/>
      </c>
    </row>
    <row r="33" spans="4:11" ht="15.75" x14ac:dyDescent="0.25">
      <c r="D33" s="2">
        <v>32</v>
      </c>
      <c r="E33" s="6"/>
      <c r="F33" s="2"/>
      <c r="G33" s="2"/>
      <c r="H33" s="2"/>
      <c r="I33" s="2" t="str">
        <f t="shared" si="0"/>
        <v/>
      </c>
      <c r="J33" s="3"/>
      <c r="K33" s="5" t="str">
        <f>IFERROR(Tabla3413[[#This Row],[USD]]/$B$1,"")</f>
        <v/>
      </c>
    </row>
    <row r="34" spans="4:11" ht="15.75" x14ac:dyDescent="0.25">
      <c r="D34" s="2">
        <v>33</v>
      </c>
      <c r="E34" s="6"/>
      <c r="F34" s="2"/>
      <c r="G34" s="2"/>
      <c r="H34" s="2"/>
      <c r="I34" s="2" t="str">
        <f t="shared" si="0"/>
        <v/>
      </c>
      <c r="J34" s="3"/>
      <c r="K34" s="5" t="str">
        <f>IFERROR(Tabla3413[[#This Row],[USD]]/$B$1,"")</f>
        <v/>
      </c>
    </row>
    <row r="35" spans="4:11" ht="15.75" x14ac:dyDescent="0.25">
      <c r="D35" s="2">
        <v>34</v>
      </c>
      <c r="E35" s="6"/>
      <c r="F35" s="2"/>
      <c r="G35" s="2"/>
      <c r="H35" s="2"/>
      <c r="I35" s="2" t="str">
        <f t="shared" si="0"/>
        <v/>
      </c>
      <c r="J35" s="3"/>
      <c r="K35" s="5" t="str">
        <f>IFERROR(Tabla3413[[#This Row],[USD]]/$B$1,"")</f>
        <v/>
      </c>
    </row>
    <row r="36" spans="4:11" ht="15.75" x14ac:dyDescent="0.25">
      <c r="D36" s="2">
        <v>35</v>
      </c>
      <c r="E36" s="6"/>
      <c r="F36" s="2"/>
      <c r="G36" s="2"/>
      <c r="H36" s="2"/>
      <c r="I36" s="2" t="str">
        <f t="shared" si="0"/>
        <v/>
      </c>
      <c r="J36" s="3"/>
      <c r="K36" s="5" t="str">
        <f>IFERROR(Tabla3413[[#This Row],[USD]]/$B$1,"")</f>
        <v/>
      </c>
    </row>
    <row r="37" spans="4:11" ht="15.75" x14ac:dyDescent="0.25">
      <c r="D37" s="2">
        <v>36</v>
      </c>
      <c r="E37" s="6"/>
      <c r="F37" s="2"/>
      <c r="G37" s="2"/>
      <c r="H37" s="2"/>
      <c r="I37" s="2" t="str">
        <f t="shared" si="0"/>
        <v/>
      </c>
      <c r="J37" s="3"/>
      <c r="K37" s="5" t="str">
        <f>IFERROR(Tabla3413[[#This Row],[USD]]/$B$1,"")</f>
        <v/>
      </c>
    </row>
    <row r="38" spans="4:11" ht="15.75" x14ac:dyDescent="0.25">
      <c r="D38" s="2">
        <v>37</v>
      </c>
      <c r="E38" s="6"/>
      <c r="F38" s="2"/>
      <c r="G38" s="2"/>
      <c r="H38" s="2"/>
      <c r="I38" s="2" t="str">
        <f t="shared" si="0"/>
        <v/>
      </c>
      <c r="J38" s="3"/>
      <c r="K38" s="5" t="str">
        <f>IFERROR(Tabla3413[[#This Row],[USD]]/$B$1,"")</f>
        <v/>
      </c>
    </row>
    <row r="39" spans="4:11" ht="15.75" x14ac:dyDescent="0.25">
      <c r="D39" s="2">
        <v>38</v>
      </c>
      <c r="E39" s="6"/>
      <c r="F39" s="2"/>
      <c r="G39" s="2"/>
      <c r="H39" s="2"/>
      <c r="I39" s="2" t="str">
        <f t="shared" si="0"/>
        <v/>
      </c>
      <c r="J39" s="3"/>
      <c r="K39" s="5" t="str">
        <f>IFERROR(Tabla3413[[#This Row],[USD]]/$B$1,"")</f>
        <v/>
      </c>
    </row>
    <row r="40" spans="4:11" ht="15.75" x14ac:dyDescent="0.25">
      <c r="D40" s="2">
        <v>39</v>
      </c>
      <c r="E40" s="6"/>
      <c r="F40" s="2"/>
      <c r="G40" s="2"/>
      <c r="H40" s="2"/>
      <c r="I40" s="2" t="str">
        <f t="shared" si="0"/>
        <v/>
      </c>
      <c r="J40" s="3"/>
      <c r="K40" s="5" t="str">
        <f>IFERROR(Tabla3413[[#This Row],[USD]]/$B$1,"")</f>
        <v/>
      </c>
    </row>
    <row r="41" spans="4:11" ht="15.75" x14ac:dyDescent="0.25">
      <c r="D41" s="2">
        <v>40</v>
      </c>
      <c r="E41" s="6"/>
      <c r="F41" s="2"/>
      <c r="G41" s="2"/>
      <c r="H41" s="2"/>
      <c r="I41" s="2" t="str">
        <f t="shared" si="0"/>
        <v/>
      </c>
      <c r="J41" s="3"/>
      <c r="K41" s="5" t="str">
        <f>IFERROR(Tabla3413[[#This Row],[USD]]/$B$1,"")</f>
        <v/>
      </c>
    </row>
    <row r="42" spans="4:11" ht="15.75" x14ac:dyDescent="0.25">
      <c r="D42" s="2">
        <v>41</v>
      </c>
      <c r="E42" s="6"/>
      <c r="F42" s="2"/>
      <c r="G42" s="2"/>
      <c r="H42" s="2"/>
      <c r="I42" s="2" t="str">
        <f t="shared" si="0"/>
        <v/>
      </c>
      <c r="J42" s="3"/>
      <c r="K42" s="5" t="str">
        <f>IFERROR(Tabla3413[[#This Row],[USD]]/$B$1,"")</f>
        <v/>
      </c>
    </row>
    <row r="43" spans="4:11" ht="15.75" x14ac:dyDescent="0.25">
      <c r="D43" s="2">
        <v>42</v>
      </c>
      <c r="E43" s="6"/>
      <c r="F43" s="2"/>
      <c r="G43" s="2"/>
      <c r="H43" s="2"/>
      <c r="I43" s="2" t="str">
        <f t="shared" si="0"/>
        <v/>
      </c>
      <c r="J43" s="3"/>
      <c r="K43" s="5" t="str">
        <f>IFERROR(Tabla3413[[#This Row],[USD]]/$B$1,"")</f>
        <v/>
      </c>
    </row>
    <row r="44" spans="4:11" ht="15.75" x14ac:dyDescent="0.25">
      <c r="D44" s="2">
        <v>43</v>
      </c>
      <c r="E44" s="6"/>
      <c r="F44" s="2"/>
      <c r="G44" s="2"/>
      <c r="H44" s="2"/>
      <c r="I44" s="2" t="str">
        <f t="shared" si="0"/>
        <v/>
      </c>
      <c r="J44" s="3"/>
      <c r="K44" s="5" t="str">
        <f>IFERROR(Tabla3413[[#This Row],[USD]]/$B$1,"")</f>
        <v/>
      </c>
    </row>
    <row r="45" spans="4:11" ht="15.75" x14ac:dyDescent="0.25">
      <c r="D45" s="2">
        <v>44</v>
      </c>
      <c r="E45" s="6"/>
      <c r="F45" s="2"/>
      <c r="G45" s="2"/>
      <c r="H45" s="2"/>
      <c r="I45" s="2" t="str">
        <f t="shared" si="0"/>
        <v/>
      </c>
      <c r="J45" s="3"/>
      <c r="K45" s="5" t="str">
        <f>IFERROR(Tabla3413[[#This Row],[USD]]/$B$1,"")</f>
        <v/>
      </c>
    </row>
    <row r="46" spans="4:11" ht="15.75" x14ac:dyDescent="0.25">
      <c r="D46" s="2">
        <v>45</v>
      </c>
      <c r="E46" s="6"/>
      <c r="F46" s="2"/>
      <c r="G46" s="2"/>
      <c r="H46" s="2"/>
      <c r="I46" s="2" t="str">
        <f t="shared" si="0"/>
        <v/>
      </c>
      <c r="J46" s="3"/>
      <c r="K46" s="5" t="str">
        <f>IFERROR(Tabla3413[[#This Row],[USD]]/$B$1,"")</f>
        <v/>
      </c>
    </row>
    <row r="47" spans="4:11" ht="15.75" x14ac:dyDescent="0.25">
      <c r="D47" s="2">
        <v>46</v>
      </c>
      <c r="E47" s="6"/>
      <c r="F47" s="2"/>
      <c r="G47" s="2"/>
      <c r="H47" s="2"/>
      <c r="I47" s="2" t="str">
        <f t="shared" si="0"/>
        <v/>
      </c>
      <c r="J47" s="3"/>
      <c r="K47" s="5" t="str">
        <f>IFERROR(Tabla3413[[#This Row],[USD]]/$B$1,"")</f>
        <v/>
      </c>
    </row>
    <row r="48" spans="4:11" ht="15.75" x14ac:dyDescent="0.25">
      <c r="D48" s="2">
        <v>47</v>
      </c>
      <c r="E48" s="6"/>
      <c r="F48" s="2"/>
      <c r="G48" s="2"/>
      <c r="H48" s="2"/>
      <c r="I48" s="2" t="str">
        <f t="shared" si="0"/>
        <v/>
      </c>
      <c r="J48" s="3"/>
      <c r="K48" s="5" t="str">
        <f>IFERROR(Tabla3413[[#This Row],[USD]]/$B$1,"")</f>
        <v/>
      </c>
    </row>
    <row r="49" spans="4:11" ht="15.75" x14ac:dyDescent="0.25">
      <c r="D49" s="2">
        <v>48</v>
      </c>
      <c r="E49" s="6"/>
      <c r="F49" s="2"/>
      <c r="G49" s="2"/>
      <c r="H49" s="2"/>
      <c r="I49" s="2" t="str">
        <f t="shared" si="0"/>
        <v/>
      </c>
      <c r="J49" s="3"/>
      <c r="K49" s="5" t="str">
        <f>IFERROR(Tabla3413[[#This Row],[USD]]/$B$1,"")</f>
        <v/>
      </c>
    </row>
    <row r="50" spans="4:11" ht="15.75" x14ac:dyDescent="0.25">
      <c r="D50" s="2">
        <v>49</v>
      </c>
      <c r="E50" s="6"/>
      <c r="F50" s="2"/>
      <c r="G50" s="2"/>
      <c r="H50" s="2"/>
      <c r="I50" s="2" t="str">
        <f t="shared" si="0"/>
        <v/>
      </c>
      <c r="J50" s="3"/>
      <c r="K50" s="5" t="str">
        <f>IFERROR(Tabla3413[[#This Row],[USD]]/$B$1,"")</f>
        <v/>
      </c>
    </row>
    <row r="51" spans="4:11" ht="15.75" x14ac:dyDescent="0.25">
      <c r="D51" s="2">
        <v>50</v>
      </c>
      <c r="E51" s="6"/>
      <c r="F51" s="2"/>
      <c r="G51" s="2"/>
      <c r="H51" s="2"/>
      <c r="I51" s="2" t="str">
        <f t="shared" si="0"/>
        <v/>
      </c>
      <c r="J51" s="3"/>
      <c r="K51" s="5" t="str">
        <f>IFERROR(Tabla3413[[#This Row],[USD]]/$B$1,"")</f>
        <v/>
      </c>
    </row>
    <row r="52" spans="4:11" ht="15.75" x14ac:dyDescent="0.25">
      <c r="D52" s="2">
        <v>51</v>
      </c>
      <c r="E52" s="6"/>
      <c r="F52" s="2"/>
      <c r="G52" s="2"/>
      <c r="H52" s="2"/>
      <c r="I52" s="2" t="str">
        <f t="shared" si="0"/>
        <v/>
      </c>
      <c r="J52" s="3"/>
      <c r="K52" s="5" t="str">
        <f>IFERROR(Tabla3413[[#This Row],[USD]]/$B$1,"")</f>
        <v/>
      </c>
    </row>
    <row r="53" spans="4:11" ht="15.75" x14ac:dyDescent="0.25">
      <c r="D53" s="2">
        <v>52</v>
      </c>
      <c r="E53" s="6"/>
      <c r="F53" s="2"/>
      <c r="G53" s="2"/>
      <c r="H53" s="2"/>
      <c r="I53" s="2" t="str">
        <f t="shared" si="0"/>
        <v/>
      </c>
      <c r="J53" s="3"/>
      <c r="K53" s="5" t="str">
        <f>IFERROR(Tabla3413[[#This Row],[USD]]/$B$1,"")</f>
        <v/>
      </c>
    </row>
    <row r="54" spans="4:11" ht="15.75" x14ac:dyDescent="0.25">
      <c r="D54" s="2">
        <v>53</v>
      </c>
      <c r="E54" s="6"/>
      <c r="F54" s="2"/>
      <c r="G54" s="2"/>
      <c r="H54" s="2"/>
      <c r="I54" s="2" t="str">
        <f t="shared" si="0"/>
        <v/>
      </c>
      <c r="J54" s="3"/>
      <c r="K54" s="5" t="str">
        <f>IFERROR(Tabla3413[[#This Row],[USD]]/$B$1,"")</f>
        <v/>
      </c>
    </row>
    <row r="55" spans="4:11" ht="15.75" x14ac:dyDescent="0.25">
      <c r="D55" s="2">
        <v>54</v>
      </c>
      <c r="E55" s="6"/>
      <c r="F55" s="2"/>
      <c r="G55" s="2"/>
      <c r="H55" s="2"/>
      <c r="I55" s="2" t="str">
        <f t="shared" si="0"/>
        <v/>
      </c>
      <c r="J55" s="3"/>
      <c r="K55" s="5" t="str">
        <f>IFERROR(Tabla3413[[#This Row],[USD]]/$B$1,"")</f>
        <v/>
      </c>
    </row>
    <row r="56" spans="4:11" ht="15.75" x14ac:dyDescent="0.25">
      <c r="D56" s="2">
        <v>55</v>
      </c>
      <c r="E56" s="6"/>
      <c r="F56" s="2"/>
      <c r="G56" s="2"/>
      <c r="H56" s="2"/>
      <c r="I56" s="2" t="str">
        <f t="shared" si="0"/>
        <v/>
      </c>
      <c r="J56" s="3"/>
      <c r="K56" s="5" t="str">
        <f>IFERROR(Tabla3413[[#This Row],[USD]]/$B$1,"")</f>
        <v/>
      </c>
    </row>
    <row r="57" spans="4:11" ht="15.75" x14ac:dyDescent="0.25">
      <c r="D57" s="2">
        <v>56</v>
      </c>
      <c r="E57" s="6"/>
      <c r="F57" s="2"/>
      <c r="G57" s="2"/>
      <c r="H57" s="2"/>
      <c r="I57" s="2" t="str">
        <f t="shared" si="0"/>
        <v/>
      </c>
      <c r="J57" s="3"/>
      <c r="K57" s="5" t="str">
        <f>IFERROR(Tabla3413[[#This Row],[USD]]/$B$1,"")</f>
        <v/>
      </c>
    </row>
    <row r="58" spans="4:11" ht="15.75" x14ac:dyDescent="0.25">
      <c r="D58" s="2">
        <v>57</v>
      </c>
      <c r="E58" s="6"/>
      <c r="F58" s="2"/>
      <c r="G58" s="2"/>
      <c r="H58" s="2"/>
      <c r="I58" s="2" t="str">
        <f t="shared" si="0"/>
        <v/>
      </c>
      <c r="J58" s="3"/>
      <c r="K58" s="5" t="str">
        <f>IFERROR(Tabla3413[[#This Row],[USD]]/$B$1,"")</f>
        <v/>
      </c>
    </row>
    <row r="59" spans="4:11" ht="15.75" x14ac:dyDescent="0.25">
      <c r="D59" s="2">
        <v>58</v>
      </c>
      <c r="E59" s="6"/>
      <c r="F59" s="2"/>
      <c r="G59" s="2"/>
      <c r="H59" s="2"/>
      <c r="I59" s="2" t="str">
        <f t="shared" si="0"/>
        <v/>
      </c>
      <c r="J59" s="3"/>
      <c r="K59" s="5" t="str">
        <f>IFERROR(Tabla3413[[#This Row],[USD]]/$B$1,"")</f>
        <v/>
      </c>
    </row>
    <row r="60" spans="4:11" ht="15.75" x14ac:dyDescent="0.25">
      <c r="D60" s="2">
        <v>59</v>
      </c>
      <c r="E60" s="6"/>
      <c r="F60" s="2"/>
      <c r="G60" s="2"/>
      <c r="H60" s="2"/>
      <c r="I60" s="2" t="str">
        <f t="shared" si="0"/>
        <v/>
      </c>
      <c r="J60" s="3"/>
      <c r="K60" s="5" t="str">
        <f>IFERROR(Tabla3413[[#This Row],[USD]]/$B$1,"")</f>
        <v/>
      </c>
    </row>
    <row r="61" spans="4:11" ht="15.75" x14ac:dyDescent="0.25">
      <c r="D61" s="2">
        <v>60</v>
      </c>
      <c r="E61" s="6"/>
      <c r="F61" s="2"/>
      <c r="G61" s="2"/>
      <c r="H61" s="2"/>
      <c r="I61" s="2" t="str">
        <f t="shared" si="0"/>
        <v/>
      </c>
      <c r="J61" s="3"/>
      <c r="K61" s="5" t="str">
        <f>IFERROR(Tabla3413[[#This Row],[USD]]/$B$1,"")</f>
        <v/>
      </c>
    </row>
    <row r="62" spans="4:11" ht="15.75" x14ac:dyDescent="0.25">
      <c r="D62" s="2">
        <v>61</v>
      </c>
      <c r="E62" s="6"/>
      <c r="F62" s="2"/>
      <c r="G62" s="2"/>
      <c r="H62" s="2"/>
      <c r="I62" s="2" t="str">
        <f t="shared" si="0"/>
        <v/>
      </c>
      <c r="J62" s="3"/>
      <c r="K62" s="5" t="str">
        <f>IFERROR(Tabla3413[[#This Row],[USD]]/$B$1,"")</f>
        <v/>
      </c>
    </row>
    <row r="63" spans="4:11" ht="15.75" x14ac:dyDescent="0.25">
      <c r="D63" s="2">
        <v>62</v>
      </c>
      <c r="E63" s="6"/>
      <c r="F63" s="2"/>
      <c r="G63" s="2"/>
      <c r="H63" s="2"/>
      <c r="I63" s="2" t="str">
        <f t="shared" si="0"/>
        <v/>
      </c>
      <c r="J63" s="3"/>
      <c r="K63" s="5" t="str">
        <f>IFERROR(Tabla3413[[#This Row],[USD]]/$B$1,"")</f>
        <v/>
      </c>
    </row>
    <row r="64" spans="4:11" ht="15.75" x14ac:dyDescent="0.25">
      <c r="D64" s="2">
        <v>63</v>
      </c>
      <c r="E64" s="6"/>
      <c r="F64" s="2"/>
      <c r="G64" s="2"/>
      <c r="H64" s="2"/>
      <c r="I64" s="2" t="str">
        <f t="shared" si="0"/>
        <v/>
      </c>
      <c r="J64" s="3"/>
      <c r="K64" s="5" t="str">
        <f>IFERROR(Tabla3413[[#This Row],[USD]]/$B$1,"")</f>
        <v/>
      </c>
    </row>
    <row r="65" spans="4:11" ht="15.75" x14ac:dyDescent="0.25">
      <c r="D65" s="2">
        <v>64</v>
      </c>
      <c r="E65" s="6"/>
      <c r="F65" s="2"/>
      <c r="G65" s="2"/>
      <c r="H65" s="2"/>
      <c r="I65" s="2" t="str">
        <f t="shared" si="0"/>
        <v/>
      </c>
      <c r="J65" s="3"/>
      <c r="K65" s="5" t="str">
        <f>IFERROR(Tabla3413[[#This Row],[USD]]/$B$1,"")</f>
        <v/>
      </c>
    </row>
    <row r="66" spans="4:11" ht="15.75" x14ac:dyDescent="0.25">
      <c r="D66" s="2">
        <v>65</v>
      </c>
      <c r="E66" s="6"/>
      <c r="F66" s="2"/>
      <c r="G66" s="2"/>
      <c r="H66" s="2"/>
      <c r="I66" s="2" t="str">
        <f t="shared" si="0"/>
        <v/>
      </c>
      <c r="J66" s="3"/>
      <c r="K66" s="5" t="str">
        <f>IFERROR(Tabla3413[[#This Row],[USD]]/$B$1,"")</f>
        <v/>
      </c>
    </row>
    <row r="67" spans="4:11" ht="15.75" x14ac:dyDescent="0.25">
      <c r="D67" s="2">
        <v>66</v>
      </c>
      <c r="E67" s="6"/>
      <c r="F67" s="2"/>
      <c r="G67" s="2"/>
      <c r="H67" s="2"/>
      <c r="I67" s="2" t="str">
        <f t="shared" ref="I67:I130" si="1">IF(J67="","",IF(J67&gt;3,"Ganado",IF(J67&lt;-3,"Perdido","Break Even")))</f>
        <v/>
      </c>
      <c r="J67" s="3"/>
      <c r="K67" s="5" t="str">
        <f>IFERROR(Tabla3413[[#This Row],[USD]]/$B$1,"")</f>
        <v/>
      </c>
    </row>
    <row r="68" spans="4:11" ht="15.75" x14ac:dyDescent="0.25">
      <c r="D68" s="2">
        <v>67</v>
      </c>
      <c r="E68" s="6"/>
      <c r="F68" s="2"/>
      <c r="G68" s="2"/>
      <c r="H68" s="2"/>
      <c r="I68" s="2" t="str">
        <f t="shared" si="1"/>
        <v/>
      </c>
      <c r="J68" s="3"/>
      <c r="K68" s="5" t="str">
        <f>IFERROR(Tabla3413[[#This Row],[USD]]/$B$1,"")</f>
        <v/>
      </c>
    </row>
    <row r="69" spans="4:11" ht="15.75" x14ac:dyDescent="0.25">
      <c r="D69" s="2">
        <v>68</v>
      </c>
      <c r="E69" s="6"/>
      <c r="F69" s="2"/>
      <c r="G69" s="2"/>
      <c r="H69" s="2"/>
      <c r="I69" s="2" t="str">
        <f t="shared" si="1"/>
        <v/>
      </c>
      <c r="J69" s="3"/>
      <c r="K69" s="5" t="str">
        <f>IFERROR(Tabla3413[[#This Row],[USD]]/$B$1,"")</f>
        <v/>
      </c>
    </row>
    <row r="70" spans="4:11" ht="15.75" x14ac:dyDescent="0.25">
      <c r="D70" s="2">
        <v>69</v>
      </c>
      <c r="E70" s="6"/>
      <c r="F70" s="2"/>
      <c r="G70" s="2"/>
      <c r="H70" s="2"/>
      <c r="I70" s="2" t="str">
        <f t="shared" si="1"/>
        <v/>
      </c>
      <c r="J70" s="3"/>
      <c r="K70" s="5" t="str">
        <f>IFERROR(Tabla3413[[#This Row],[USD]]/$B$1,"")</f>
        <v/>
      </c>
    </row>
    <row r="71" spans="4:11" ht="15.75" x14ac:dyDescent="0.25">
      <c r="D71" s="2">
        <v>70</v>
      </c>
      <c r="E71" s="6"/>
      <c r="F71" s="2"/>
      <c r="G71" s="2"/>
      <c r="H71" s="2"/>
      <c r="I71" s="2" t="str">
        <f t="shared" si="1"/>
        <v/>
      </c>
      <c r="J71" s="3"/>
      <c r="K71" s="5" t="str">
        <f>IFERROR(Tabla3413[[#This Row],[USD]]/$B$1,"")</f>
        <v/>
      </c>
    </row>
    <row r="72" spans="4:11" ht="15.75" x14ac:dyDescent="0.25">
      <c r="D72" s="2">
        <v>71</v>
      </c>
      <c r="E72" s="6"/>
      <c r="F72" s="2"/>
      <c r="G72" s="2"/>
      <c r="H72" s="2"/>
      <c r="I72" s="2" t="str">
        <f t="shared" si="1"/>
        <v/>
      </c>
      <c r="J72" s="3"/>
      <c r="K72" s="5" t="str">
        <f>IFERROR(Tabla3413[[#This Row],[USD]]/$B$1,"")</f>
        <v/>
      </c>
    </row>
    <row r="73" spans="4:11" ht="15.75" x14ac:dyDescent="0.25">
      <c r="D73" s="2">
        <v>72</v>
      </c>
      <c r="E73" s="6"/>
      <c r="F73" s="2"/>
      <c r="G73" s="2"/>
      <c r="H73" s="2"/>
      <c r="I73" s="2" t="str">
        <f t="shared" si="1"/>
        <v/>
      </c>
      <c r="J73" s="3"/>
      <c r="K73" s="5" t="str">
        <f>IFERROR(Tabla3413[[#This Row],[USD]]/$B$1,"")</f>
        <v/>
      </c>
    </row>
    <row r="74" spans="4:11" ht="15.75" x14ac:dyDescent="0.25">
      <c r="D74" s="2">
        <v>73</v>
      </c>
      <c r="E74" s="6"/>
      <c r="F74" s="2"/>
      <c r="G74" s="2"/>
      <c r="H74" s="2"/>
      <c r="I74" s="2" t="str">
        <f t="shared" si="1"/>
        <v/>
      </c>
      <c r="J74" s="3"/>
      <c r="K74" s="5" t="str">
        <f>IFERROR(Tabla3413[[#This Row],[USD]]/$B$1,"")</f>
        <v/>
      </c>
    </row>
    <row r="75" spans="4:11" ht="15.75" x14ac:dyDescent="0.25">
      <c r="D75" s="2">
        <v>74</v>
      </c>
      <c r="E75" s="6"/>
      <c r="F75" s="2"/>
      <c r="G75" s="2"/>
      <c r="H75" s="2"/>
      <c r="I75" s="2" t="str">
        <f t="shared" si="1"/>
        <v/>
      </c>
      <c r="J75" s="3"/>
      <c r="K75" s="5" t="str">
        <f>IFERROR(Tabla3413[[#This Row],[USD]]/$B$1,"")</f>
        <v/>
      </c>
    </row>
    <row r="76" spans="4:11" ht="15.75" x14ac:dyDescent="0.25">
      <c r="D76" s="2">
        <v>75</v>
      </c>
      <c r="E76" s="6"/>
      <c r="F76" s="2"/>
      <c r="G76" s="2"/>
      <c r="H76" s="2"/>
      <c r="I76" s="2" t="str">
        <f t="shared" si="1"/>
        <v/>
      </c>
      <c r="J76" s="3"/>
      <c r="K76" s="5" t="str">
        <f>IFERROR(Tabla3413[[#This Row],[USD]]/$B$1,"")</f>
        <v/>
      </c>
    </row>
    <row r="77" spans="4:11" ht="15.75" x14ac:dyDescent="0.25">
      <c r="D77" s="2">
        <v>76</v>
      </c>
      <c r="E77" s="6"/>
      <c r="F77" s="2"/>
      <c r="G77" s="2"/>
      <c r="H77" s="2"/>
      <c r="I77" s="2" t="str">
        <f t="shared" si="1"/>
        <v/>
      </c>
      <c r="J77" s="3"/>
      <c r="K77" s="5" t="str">
        <f>IFERROR(Tabla3413[[#This Row],[USD]]/$B$1,"")</f>
        <v/>
      </c>
    </row>
    <row r="78" spans="4:11" ht="15.75" x14ac:dyDescent="0.25">
      <c r="D78" s="2">
        <v>77</v>
      </c>
      <c r="E78" s="6"/>
      <c r="F78" s="2"/>
      <c r="G78" s="2"/>
      <c r="H78" s="2"/>
      <c r="I78" s="2" t="str">
        <f t="shared" si="1"/>
        <v/>
      </c>
      <c r="J78" s="3"/>
      <c r="K78" s="5" t="str">
        <f>IFERROR(Tabla3413[[#This Row],[USD]]/$B$1,"")</f>
        <v/>
      </c>
    </row>
    <row r="79" spans="4:11" ht="15.75" x14ac:dyDescent="0.25">
      <c r="D79" s="2">
        <v>78</v>
      </c>
      <c r="E79" s="6"/>
      <c r="F79" s="2"/>
      <c r="G79" s="2"/>
      <c r="H79" s="2"/>
      <c r="I79" s="2" t="str">
        <f t="shared" si="1"/>
        <v/>
      </c>
      <c r="J79" s="3"/>
      <c r="K79" s="5" t="str">
        <f>IFERROR(Tabla3413[[#This Row],[USD]]/$B$1,"")</f>
        <v/>
      </c>
    </row>
    <row r="80" spans="4:11" ht="15.75" x14ac:dyDescent="0.25">
      <c r="D80" s="2">
        <v>79</v>
      </c>
      <c r="E80" s="6"/>
      <c r="F80" s="2"/>
      <c r="G80" s="2"/>
      <c r="H80" s="2"/>
      <c r="I80" s="2" t="str">
        <f t="shared" si="1"/>
        <v/>
      </c>
      <c r="J80" s="3"/>
      <c r="K80" s="5" t="str">
        <f>IFERROR(Tabla3413[[#This Row],[USD]]/$B$1,"")</f>
        <v/>
      </c>
    </row>
    <row r="81" spans="4:11" ht="15.75" x14ac:dyDescent="0.25">
      <c r="D81" s="2">
        <v>80</v>
      </c>
      <c r="E81" s="6"/>
      <c r="F81" s="2"/>
      <c r="G81" s="2"/>
      <c r="H81" s="2"/>
      <c r="I81" s="2" t="str">
        <f t="shared" si="1"/>
        <v/>
      </c>
      <c r="J81" s="3"/>
      <c r="K81" s="5" t="str">
        <f>IFERROR(Tabla3413[[#This Row],[USD]]/$B$1,"")</f>
        <v/>
      </c>
    </row>
    <row r="82" spans="4:11" ht="15.75" x14ac:dyDescent="0.25">
      <c r="D82" s="2">
        <v>81</v>
      </c>
      <c r="E82" s="6"/>
      <c r="F82" s="2"/>
      <c r="G82" s="2"/>
      <c r="H82" s="2"/>
      <c r="I82" s="2" t="str">
        <f t="shared" si="1"/>
        <v/>
      </c>
      <c r="J82" s="3"/>
      <c r="K82" s="5" t="str">
        <f>IFERROR(Tabla3413[[#This Row],[USD]]/$B$1,"")</f>
        <v/>
      </c>
    </row>
    <row r="83" spans="4:11" ht="15.75" x14ac:dyDescent="0.25">
      <c r="D83" s="2">
        <v>82</v>
      </c>
      <c r="E83" s="6"/>
      <c r="F83" s="2"/>
      <c r="G83" s="2"/>
      <c r="H83" s="2"/>
      <c r="I83" s="2" t="str">
        <f t="shared" si="1"/>
        <v/>
      </c>
      <c r="J83" s="3"/>
      <c r="K83" s="5" t="str">
        <f>IFERROR(Tabla3413[[#This Row],[USD]]/$B$1,"")</f>
        <v/>
      </c>
    </row>
    <row r="84" spans="4:11" ht="15.75" x14ac:dyDescent="0.25">
      <c r="D84" s="2">
        <v>83</v>
      </c>
      <c r="E84" s="6"/>
      <c r="F84" s="2"/>
      <c r="G84" s="2"/>
      <c r="H84" s="2"/>
      <c r="I84" s="2" t="str">
        <f t="shared" si="1"/>
        <v/>
      </c>
      <c r="J84" s="3"/>
      <c r="K84" s="5" t="str">
        <f>IFERROR(Tabla3413[[#This Row],[USD]]/$B$1,"")</f>
        <v/>
      </c>
    </row>
    <row r="85" spans="4:11" ht="15.75" x14ac:dyDescent="0.25">
      <c r="D85" s="2">
        <v>84</v>
      </c>
      <c r="E85" s="6"/>
      <c r="F85" s="2"/>
      <c r="G85" s="2"/>
      <c r="H85" s="2"/>
      <c r="I85" s="2" t="str">
        <f t="shared" si="1"/>
        <v/>
      </c>
      <c r="J85" s="3"/>
      <c r="K85" s="5" t="str">
        <f>IFERROR(Tabla3413[[#This Row],[USD]]/$B$1,"")</f>
        <v/>
      </c>
    </row>
    <row r="86" spans="4:11" ht="15.75" x14ac:dyDescent="0.25">
      <c r="D86" s="2">
        <v>85</v>
      </c>
      <c r="E86" s="6"/>
      <c r="F86" s="2"/>
      <c r="G86" s="2"/>
      <c r="H86" s="2"/>
      <c r="I86" s="2" t="str">
        <f t="shared" si="1"/>
        <v/>
      </c>
      <c r="J86" s="3"/>
      <c r="K86" s="5" t="str">
        <f>IFERROR(Tabla3413[[#This Row],[USD]]/$B$1,"")</f>
        <v/>
      </c>
    </row>
    <row r="87" spans="4:11" ht="15.75" x14ac:dyDescent="0.25">
      <c r="D87" s="2">
        <v>86</v>
      </c>
      <c r="E87" s="6"/>
      <c r="F87" s="2"/>
      <c r="G87" s="2"/>
      <c r="H87" s="2"/>
      <c r="I87" s="2" t="str">
        <f t="shared" si="1"/>
        <v/>
      </c>
      <c r="J87" s="3"/>
      <c r="K87" s="5" t="str">
        <f>IFERROR(Tabla3413[[#This Row],[USD]]/$B$1,"")</f>
        <v/>
      </c>
    </row>
    <row r="88" spans="4:11" ht="15.75" x14ac:dyDescent="0.25">
      <c r="D88" s="2">
        <v>87</v>
      </c>
      <c r="E88" s="6"/>
      <c r="F88" s="2"/>
      <c r="G88" s="2"/>
      <c r="H88" s="2"/>
      <c r="I88" s="2" t="str">
        <f t="shared" si="1"/>
        <v/>
      </c>
      <c r="J88" s="3"/>
      <c r="K88" s="5" t="str">
        <f>IFERROR(Tabla3413[[#This Row],[USD]]/$B$1,"")</f>
        <v/>
      </c>
    </row>
    <row r="89" spans="4:11" ht="15.75" x14ac:dyDescent="0.25">
      <c r="D89" s="2">
        <v>88</v>
      </c>
      <c r="E89" s="6"/>
      <c r="F89" s="2"/>
      <c r="G89" s="2"/>
      <c r="H89" s="2"/>
      <c r="I89" s="2" t="str">
        <f t="shared" si="1"/>
        <v/>
      </c>
      <c r="J89" s="3"/>
      <c r="K89" s="5" t="str">
        <f>IFERROR(Tabla3413[[#This Row],[USD]]/$B$1,"")</f>
        <v/>
      </c>
    </row>
    <row r="90" spans="4:11" ht="15.75" x14ac:dyDescent="0.25">
      <c r="D90" s="2">
        <v>89</v>
      </c>
      <c r="E90" s="6"/>
      <c r="F90" s="2"/>
      <c r="G90" s="2"/>
      <c r="H90" s="2"/>
      <c r="I90" s="2" t="str">
        <f t="shared" si="1"/>
        <v/>
      </c>
      <c r="J90" s="3"/>
      <c r="K90" s="5" t="str">
        <f>IFERROR(Tabla3413[[#This Row],[USD]]/$B$1,"")</f>
        <v/>
      </c>
    </row>
    <row r="91" spans="4:11" ht="15.75" x14ac:dyDescent="0.25">
      <c r="D91" s="2">
        <v>90</v>
      </c>
      <c r="E91" s="6"/>
      <c r="F91" s="2"/>
      <c r="G91" s="2"/>
      <c r="H91" s="2"/>
      <c r="I91" s="2" t="str">
        <f t="shared" si="1"/>
        <v/>
      </c>
      <c r="J91" s="3"/>
      <c r="K91" s="5" t="str">
        <f>IFERROR(Tabla3413[[#This Row],[USD]]/$B$1,"")</f>
        <v/>
      </c>
    </row>
    <row r="92" spans="4:11" ht="15.75" x14ac:dyDescent="0.25">
      <c r="D92" s="2">
        <v>91</v>
      </c>
      <c r="E92" s="6"/>
      <c r="F92" s="2"/>
      <c r="G92" s="2"/>
      <c r="H92" s="2"/>
      <c r="I92" s="2" t="str">
        <f t="shared" si="1"/>
        <v/>
      </c>
      <c r="J92" s="3"/>
      <c r="K92" s="5" t="str">
        <f>IFERROR(Tabla3413[[#This Row],[USD]]/$B$1,"")</f>
        <v/>
      </c>
    </row>
    <row r="93" spans="4:11" ht="15.75" x14ac:dyDescent="0.25">
      <c r="D93" s="2">
        <v>92</v>
      </c>
      <c r="E93" s="6"/>
      <c r="F93" s="2"/>
      <c r="G93" s="2"/>
      <c r="H93" s="2"/>
      <c r="I93" s="2" t="str">
        <f t="shared" si="1"/>
        <v/>
      </c>
      <c r="J93" s="3"/>
      <c r="K93" s="5" t="str">
        <f>IFERROR(Tabla3413[[#This Row],[USD]]/$B$1,"")</f>
        <v/>
      </c>
    </row>
    <row r="94" spans="4:11" ht="15.75" x14ac:dyDescent="0.25">
      <c r="D94" s="2">
        <v>93</v>
      </c>
      <c r="E94" s="6"/>
      <c r="F94" s="2"/>
      <c r="G94" s="2"/>
      <c r="H94" s="2"/>
      <c r="I94" s="2" t="str">
        <f t="shared" si="1"/>
        <v/>
      </c>
      <c r="J94" s="3"/>
      <c r="K94" s="5" t="str">
        <f>IFERROR(Tabla3413[[#This Row],[USD]]/$B$1,"")</f>
        <v/>
      </c>
    </row>
    <row r="95" spans="4:11" ht="15.75" x14ac:dyDescent="0.25">
      <c r="D95" s="2">
        <v>94</v>
      </c>
      <c r="E95" s="6"/>
      <c r="F95" s="2"/>
      <c r="G95" s="2"/>
      <c r="H95" s="2"/>
      <c r="I95" s="2" t="str">
        <f t="shared" si="1"/>
        <v/>
      </c>
      <c r="J95" s="3"/>
      <c r="K95" s="5" t="str">
        <f>IFERROR(Tabla3413[[#This Row],[USD]]/$B$1,"")</f>
        <v/>
      </c>
    </row>
    <row r="96" spans="4:11" ht="15.75" x14ac:dyDescent="0.25">
      <c r="D96" s="2">
        <v>95</v>
      </c>
      <c r="E96" s="6"/>
      <c r="F96" s="2"/>
      <c r="G96" s="2"/>
      <c r="H96" s="2"/>
      <c r="I96" s="2" t="str">
        <f t="shared" si="1"/>
        <v/>
      </c>
      <c r="J96" s="3"/>
      <c r="K96" s="5" t="str">
        <f>IFERROR(Tabla3413[[#This Row],[USD]]/$B$1,"")</f>
        <v/>
      </c>
    </row>
    <row r="97" spans="4:11" ht="15.75" x14ac:dyDescent="0.25">
      <c r="D97" s="2">
        <v>96</v>
      </c>
      <c r="E97" s="6"/>
      <c r="F97" s="2"/>
      <c r="G97" s="2"/>
      <c r="H97" s="2"/>
      <c r="I97" s="2" t="str">
        <f t="shared" si="1"/>
        <v/>
      </c>
      <c r="J97" s="3"/>
      <c r="K97" s="5" t="str">
        <f>IFERROR(Tabla3413[[#This Row],[USD]]/$B$1,"")</f>
        <v/>
      </c>
    </row>
    <row r="98" spans="4:11" ht="15.75" x14ac:dyDescent="0.25">
      <c r="D98" s="2">
        <v>97</v>
      </c>
      <c r="E98" s="6"/>
      <c r="F98" s="2"/>
      <c r="G98" s="2"/>
      <c r="H98" s="2"/>
      <c r="I98" s="2" t="str">
        <f t="shared" si="1"/>
        <v/>
      </c>
      <c r="J98" s="3"/>
      <c r="K98" s="5" t="str">
        <f>IFERROR(Tabla3413[[#This Row],[USD]]/$B$1,"")</f>
        <v/>
      </c>
    </row>
    <row r="99" spans="4:11" ht="15.75" x14ac:dyDescent="0.25">
      <c r="D99" s="2">
        <v>98</v>
      </c>
      <c r="E99" s="6"/>
      <c r="F99" s="2"/>
      <c r="G99" s="2"/>
      <c r="H99" s="2"/>
      <c r="I99" s="2" t="str">
        <f t="shared" si="1"/>
        <v/>
      </c>
      <c r="J99" s="3"/>
      <c r="K99" s="5" t="str">
        <f>IFERROR(Tabla3413[[#This Row],[USD]]/$B$1,"")</f>
        <v/>
      </c>
    </row>
    <row r="100" spans="4:11" ht="15.75" x14ac:dyDescent="0.25">
      <c r="D100" s="2">
        <v>99</v>
      </c>
      <c r="E100" s="6"/>
      <c r="F100" s="2"/>
      <c r="G100" s="2"/>
      <c r="H100" s="2"/>
      <c r="I100" s="2" t="str">
        <f t="shared" si="1"/>
        <v/>
      </c>
      <c r="J100" s="3"/>
      <c r="K100" s="5" t="str">
        <f>IFERROR(Tabla3413[[#This Row],[USD]]/$B$1,"")</f>
        <v/>
      </c>
    </row>
    <row r="101" spans="4:11" ht="15.75" x14ac:dyDescent="0.25">
      <c r="D101" s="2">
        <v>100</v>
      </c>
      <c r="E101" s="6"/>
      <c r="F101" s="2"/>
      <c r="G101" s="2"/>
      <c r="H101" s="2"/>
      <c r="I101" s="2" t="str">
        <f t="shared" si="1"/>
        <v/>
      </c>
      <c r="J101" s="3"/>
      <c r="K101" s="5" t="str">
        <f>IFERROR(Tabla3413[[#This Row],[USD]]/$B$1,"")</f>
        <v/>
      </c>
    </row>
    <row r="102" spans="4:11" ht="15.75" x14ac:dyDescent="0.25">
      <c r="D102" s="2">
        <v>101</v>
      </c>
      <c r="E102" s="6"/>
      <c r="F102" s="2"/>
      <c r="G102" s="2"/>
      <c r="H102" s="2"/>
      <c r="I102" s="2" t="str">
        <f t="shared" si="1"/>
        <v/>
      </c>
      <c r="J102" s="3"/>
      <c r="K102" s="5" t="str">
        <f>IFERROR(Tabla3413[[#This Row],[USD]]/$B$1,"")</f>
        <v/>
      </c>
    </row>
    <row r="103" spans="4:11" ht="15.75" x14ac:dyDescent="0.25">
      <c r="D103" s="2">
        <v>102</v>
      </c>
      <c r="E103" s="6"/>
      <c r="F103" s="2"/>
      <c r="G103" s="2"/>
      <c r="H103" s="2"/>
      <c r="I103" s="2" t="str">
        <f t="shared" si="1"/>
        <v/>
      </c>
      <c r="J103" s="3"/>
      <c r="K103" s="5" t="str">
        <f>IFERROR(Tabla3413[[#This Row],[USD]]/$B$1,"")</f>
        <v/>
      </c>
    </row>
    <row r="104" spans="4:11" ht="15.75" x14ac:dyDescent="0.25">
      <c r="D104" s="2">
        <v>103</v>
      </c>
      <c r="E104" s="6"/>
      <c r="F104" s="2"/>
      <c r="G104" s="2"/>
      <c r="H104" s="2"/>
      <c r="I104" s="2" t="str">
        <f t="shared" si="1"/>
        <v/>
      </c>
      <c r="J104" s="3"/>
      <c r="K104" s="5" t="str">
        <f>IFERROR(Tabla3413[[#This Row],[USD]]/$B$1,"")</f>
        <v/>
      </c>
    </row>
    <row r="105" spans="4:11" ht="15.75" x14ac:dyDescent="0.25">
      <c r="D105" s="2">
        <v>104</v>
      </c>
      <c r="E105" s="6"/>
      <c r="F105" s="2"/>
      <c r="G105" s="2"/>
      <c r="H105" s="2"/>
      <c r="I105" s="2" t="str">
        <f t="shared" si="1"/>
        <v/>
      </c>
      <c r="J105" s="3"/>
      <c r="K105" s="5" t="str">
        <f>IFERROR(Tabla3413[[#This Row],[USD]]/$B$1,"")</f>
        <v/>
      </c>
    </row>
    <row r="106" spans="4:11" ht="15.75" x14ac:dyDescent="0.25">
      <c r="D106" s="2">
        <v>105</v>
      </c>
      <c r="E106" s="6"/>
      <c r="F106" s="2"/>
      <c r="G106" s="2"/>
      <c r="H106" s="2"/>
      <c r="I106" s="2" t="str">
        <f t="shared" si="1"/>
        <v/>
      </c>
      <c r="J106" s="3"/>
      <c r="K106" s="5" t="str">
        <f>IFERROR(Tabla3413[[#This Row],[USD]]/$B$1,"")</f>
        <v/>
      </c>
    </row>
    <row r="107" spans="4:11" ht="15.75" x14ac:dyDescent="0.25">
      <c r="D107" s="2">
        <v>106</v>
      </c>
      <c r="E107" s="6"/>
      <c r="F107" s="2"/>
      <c r="G107" s="2"/>
      <c r="H107" s="2"/>
      <c r="I107" s="2" t="str">
        <f t="shared" si="1"/>
        <v/>
      </c>
      <c r="J107" s="3"/>
      <c r="K107" s="5" t="str">
        <f>IFERROR(Tabla3413[[#This Row],[USD]]/$B$1,"")</f>
        <v/>
      </c>
    </row>
    <row r="108" spans="4:11" ht="15.75" x14ac:dyDescent="0.25">
      <c r="D108" s="2">
        <v>107</v>
      </c>
      <c r="E108" s="6"/>
      <c r="F108" s="2"/>
      <c r="G108" s="2"/>
      <c r="H108" s="2"/>
      <c r="I108" s="2" t="str">
        <f t="shared" si="1"/>
        <v/>
      </c>
      <c r="J108" s="3"/>
      <c r="K108" s="5" t="str">
        <f>IFERROR(Tabla3413[[#This Row],[USD]]/$B$1,"")</f>
        <v/>
      </c>
    </row>
    <row r="109" spans="4:11" ht="15.75" x14ac:dyDescent="0.25">
      <c r="D109" s="2">
        <v>108</v>
      </c>
      <c r="E109" s="6"/>
      <c r="F109" s="2"/>
      <c r="G109" s="2"/>
      <c r="H109" s="2"/>
      <c r="I109" s="2" t="str">
        <f t="shared" si="1"/>
        <v/>
      </c>
      <c r="J109" s="3"/>
      <c r="K109" s="5" t="str">
        <f>IFERROR(Tabla3413[[#This Row],[USD]]/$B$1,"")</f>
        <v/>
      </c>
    </row>
    <row r="110" spans="4:11" ht="15.75" x14ac:dyDescent="0.25">
      <c r="D110" s="2">
        <v>109</v>
      </c>
      <c r="E110" s="6"/>
      <c r="F110" s="2"/>
      <c r="G110" s="2"/>
      <c r="H110" s="2"/>
      <c r="I110" s="2" t="str">
        <f t="shared" si="1"/>
        <v/>
      </c>
      <c r="J110" s="3"/>
      <c r="K110" s="5" t="str">
        <f>IFERROR(Tabla3413[[#This Row],[USD]]/$B$1,"")</f>
        <v/>
      </c>
    </row>
    <row r="111" spans="4:11" ht="15.75" x14ac:dyDescent="0.25">
      <c r="D111" s="2">
        <v>110</v>
      </c>
      <c r="E111" s="6"/>
      <c r="F111" s="2"/>
      <c r="G111" s="2"/>
      <c r="H111" s="2"/>
      <c r="I111" s="2" t="str">
        <f t="shared" si="1"/>
        <v/>
      </c>
      <c r="J111" s="3"/>
      <c r="K111" s="5" t="str">
        <f>IFERROR(Tabla3413[[#This Row],[USD]]/$B$1,"")</f>
        <v/>
      </c>
    </row>
    <row r="112" spans="4:11" ht="15.75" x14ac:dyDescent="0.25">
      <c r="D112" s="2">
        <v>111</v>
      </c>
      <c r="E112" s="6"/>
      <c r="F112" s="2"/>
      <c r="G112" s="2"/>
      <c r="H112" s="2"/>
      <c r="I112" s="2" t="str">
        <f t="shared" si="1"/>
        <v/>
      </c>
      <c r="J112" s="3"/>
      <c r="K112" s="5" t="str">
        <f>IFERROR(Tabla3413[[#This Row],[USD]]/$B$1,"")</f>
        <v/>
      </c>
    </row>
    <row r="113" spans="4:11" ht="15.75" x14ac:dyDescent="0.25">
      <c r="D113" s="2">
        <v>112</v>
      </c>
      <c r="E113" s="6"/>
      <c r="F113" s="2"/>
      <c r="G113" s="2"/>
      <c r="H113" s="2"/>
      <c r="I113" s="2" t="str">
        <f t="shared" si="1"/>
        <v/>
      </c>
      <c r="J113" s="3"/>
      <c r="K113" s="5" t="str">
        <f>IFERROR(Tabla3413[[#This Row],[USD]]/$B$1,"")</f>
        <v/>
      </c>
    </row>
    <row r="114" spans="4:11" ht="15.75" x14ac:dyDescent="0.25">
      <c r="D114" s="2">
        <v>113</v>
      </c>
      <c r="E114" s="6"/>
      <c r="F114" s="2"/>
      <c r="G114" s="2"/>
      <c r="H114" s="2"/>
      <c r="I114" s="2" t="str">
        <f t="shared" si="1"/>
        <v/>
      </c>
      <c r="J114" s="3"/>
      <c r="K114" s="5" t="str">
        <f>IFERROR(Tabla3413[[#This Row],[USD]]/$B$1,"")</f>
        <v/>
      </c>
    </row>
    <row r="115" spans="4:11" ht="15.75" x14ac:dyDescent="0.25">
      <c r="D115" s="2">
        <v>114</v>
      </c>
      <c r="E115" s="6"/>
      <c r="F115" s="2"/>
      <c r="G115" s="2"/>
      <c r="H115" s="2"/>
      <c r="I115" s="2" t="str">
        <f t="shared" si="1"/>
        <v/>
      </c>
      <c r="J115" s="3"/>
      <c r="K115" s="5" t="str">
        <f>IFERROR(Tabla3413[[#This Row],[USD]]/$B$1,"")</f>
        <v/>
      </c>
    </row>
    <row r="116" spans="4:11" ht="15.75" x14ac:dyDescent="0.25">
      <c r="D116" s="2">
        <v>115</v>
      </c>
      <c r="E116" s="6"/>
      <c r="F116" s="2"/>
      <c r="G116" s="2"/>
      <c r="H116" s="2"/>
      <c r="I116" s="2" t="str">
        <f t="shared" si="1"/>
        <v/>
      </c>
      <c r="J116" s="3"/>
      <c r="K116" s="5" t="str">
        <f>IFERROR(Tabla3413[[#This Row],[USD]]/$B$1,"")</f>
        <v/>
      </c>
    </row>
    <row r="117" spans="4:11" ht="15.75" x14ac:dyDescent="0.25">
      <c r="D117" s="2">
        <v>116</v>
      </c>
      <c r="E117" s="6"/>
      <c r="F117" s="2"/>
      <c r="G117" s="2"/>
      <c r="H117" s="2"/>
      <c r="I117" s="2" t="str">
        <f t="shared" si="1"/>
        <v/>
      </c>
      <c r="J117" s="3"/>
      <c r="K117" s="5" t="str">
        <f>IFERROR(Tabla3413[[#This Row],[USD]]/$B$1,"")</f>
        <v/>
      </c>
    </row>
    <row r="118" spans="4:11" ht="15.75" x14ac:dyDescent="0.25">
      <c r="D118" s="2">
        <v>117</v>
      </c>
      <c r="E118" s="6"/>
      <c r="F118" s="2"/>
      <c r="G118" s="2"/>
      <c r="H118" s="2"/>
      <c r="I118" s="2" t="str">
        <f t="shared" si="1"/>
        <v/>
      </c>
      <c r="J118" s="3"/>
      <c r="K118" s="5" t="str">
        <f>IFERROR(Tabla3413[[#This Row],[USD]]/$B$1,"")</f>
        <v/>
      </c>
    </row>
    <row r="119" spans="4:11" ht="15.75" x14ac:dyDescent="0.25">
      <c r="D119" s="2">
        <v>118</v>
      </c>
      <c r="E119" s="6"/>
      <c r="F119" s="2"/>
      <c r="G119" s="2"/>
      <c r="H119" s="2"/>
      <c r="I119" s="2" t="str">
        <f t="shared" si="1"/>
        <v/>
      </c>
      <c r="J119" s="3"/>
      <c r="K119" s="5" t="str">
        <f>IFERROR(Tabla3413[[#This Row],[USD]]/$B$1,"")</f>
        <v/>
      </c>
    </row>
    <row r="120" spans="4:11" ht="15.75" x14ac:dyDescent="0.25">
      <c r="D120" s="2">
        <v>119</v>
      </c>
      <c r="E120" s="6"/>
      <c r="F120" s="2"/>
      <c r="G120" s="2"/>
      <c r="H120" s="2"/>
      <c r="I120" s="2" t="str">
        <f t="shared" si="1"/>
        <v/>
      </c>
      <c r="J120" s="3"/>
      <c r="K120" s="5" t="str">
        <f>IFERROR(Tabla3413[[#This Row],[USD]]/$B$1,"")</f>
        <v/>
      </c>
    </row>
    <row r="121" spans="4:11" ht="15.75" x14ac:dyDescent="0.25">
      <c r="D121" s="2">
        <v>120</v>
      </c>
      <c r="E121" s="6"/>
      <c r="F121" s="2"/>
      <c r="G121" s="2"/>
      <c r="H121" s="2"/>
      <c r="I121" s="2" t="str">
        <f t="shared" si="1"/>
        <v/>
      </c>
      <c r="J121" s="3"/>
      <c r="K121" s="5" t="str">
        <f>IFERROR(Tabla3413[[#This Row],[USD]]/$B$1,"")</f>
        <v/>
      </c>
    </row>
    <row r="122" spans="4:11" ht="15.75" x14ac:dyDescent="0.25">
      <c r="D122" s="2">
        <v>121</v>
      </c>
      <c r="E122" s="6"/>
      <c r="F122" s="2"/>
      <c r="G122" s="2"/>
      <c r="H122" s="2"/>
      <c r="I122" s="2" t="str">
        <f t="shared" si="1"/>
        <v/>
      </c>
      <c r="J122" s="3"/>
      <c r="K122" s="5" t="str">
        <f>IFERROR(Tabla3413[[#This Row],[USD]]/$B$1,"")</f>
        <v/>
      </c>
    </row>
    <row r="123" spans="4:11" ht="15.75" x14ac:dyDescent="0.25">
      <c r="D123" s="2">
        <v>122</v>
      </c>
      <c r="E123" s="6"/>
      <c r="F123" s="2"/>
      <c r="G123" s="2"/>
      <c r="H123" s="2"/>
      <c r="I123" s="2" t="str">
        <f t="shared" si="1"/>
        <v/>
      </c>
      <c r="J123" s="3"/>
      <c r="K123" s="5" t="str">
        <f>IFERROR(Tabla3413[[#This Row],[USD]]/$B$1,"")</f>
        <v/>
      </c>
    </row>
    <row r="124" spans="4:11" ht="15.75" x14ac:dyDescent="0.25">
      <c r="D124" s="2">
        <v>123</v>
      </c>
      <c r="E124" s="6"/>
      <c r="F124" s="2"/>
      <c r="G124" s="2"/>
      <c r="H124" s="2"/>
      <c r="I124" s="2" t="str">
        <f t="shared" si="1"/>
        <v/>
      </c>
      <c r="J124" s="3"/>
      <c r="K124" s="5" t="str">
        <f>IFERROR(Tabla3413[[#This Row],[USD]]/$B$1,"")</f>
        <v/>
      </c>
    </row>
    <row r="125" spans="4:11" ht="15.75" x14ac:dyDescent="0.25">
      <c r="D125" s="2">
        <v>124</v>
      </c>
      <c r="E125" s="6"/>
      <c r="F125" s="2"/>
      <c r="G125" s="2"/>
      <c r="H125" s="2"/>
      <c r="I125" s="2" t="str">
        <f t="shared" si="1"/>
        <v/>
      </c>
      <c r="J125" s="3"/>
      <c r="K125" s="5" t="str">
        <f>IFERROR(Tabla3413[[#This Row],[USD]]/$B$1,"")</f>
        <v/>
      </c>
    </row>
    <row r="126" spans="4:11" ht="15.75" x14ac:dyDescent="0.25">
      <c r="D126" s="2">
        <v>125</v>
      </c>
      <c r="E126" s="6"/>
      <c r="F126" s="2"/>
      <c r="G126" s="2"/>
      <c r="H126" s="2"/>
      <c r="I126" s="2" t="str">
        <f t="shared" si="1"/>
        <v/>
      </c>
      <c r="J126" s="3"/>
      <c r="K126" s="5" t="str">
        <f>IFERROR(Tabla3413[[#This Row],[USD]]/$B$1,"")</f>
        <v/>
      </c>
    </row>
    <row r="127" spans="4:11" ht="15.75" x14ac:dyDescent="0.25">
      <c r="D127" s="2">
        <v>126</v>
      </c>
      <c r="E127" s="6"/>
      <c r="F127" s="2"/>
      <c r="G127" s="2"/>
      <c r="H127" s="2"/>
      <c r="I127" s="2" t="str">
        <f t="shared" si="1"/>
        <v/>
      </c>
      <c r="J127" s="3"/>
      <c r="K127" s="5" t="str">
        <f>IFERROR(Tabla3413[[#This Row],[USD]]/$B$1,"")</f>
        <v/>
      </c>
    </row>
    <row r="128" spans="4:11" ht="15.75" x14ac:dyDescent="0.25">
      <c r="D128" s="2">
        <v>127</v>
      </c>
      <c r="E128" s="6"/>
      <c r="F128" s="2"/>
      <c r="G128" s="2"/>
      <c r="H128" s="2"/>
      <c r="I128" s="2" t="str">
        <f t="shared" si="1"/>
        <v/>
      </c>
      <c r="J128" s="3"/>
      <c r="K128" s="5" t="str">
        <f>IFERROR(Tabla3413[[#This Row],[USD]]/$B$1,"")</f>
        <v/>
      </c>
    </row>
    <row r="129" spans="4:11" ht="15.75" x14ac:dyDescent="0.25">
      <c r="D129" s="2">
        <v>128</v>
      </c>
      <c r="E129" s="6"/>
      <c r="F129" s="2"/>
      <c r="G129" s="2"/>
      <c r="H129" s="2"/>
      <c r="I129" s="2" t="str">
        <f t="shared" si="1"/>
        <v/>
      </c>
      <c r="J129" s="3"/>
      <c r="K129" s="5" t="str">
        <f>IFERROR(Tabla3413[[#This Row],[USD]]/$B$1,"")</f>
        <v/>
      </c>
    </row>
    <row r="130" spans="4:11" ht="15.75" x14ac:dyDescent="0.25">
      <c r="D130" s="2">
        <v>129</v>
      </c>
      <c r="E130" s="6"/>
      <c r="F130" s="2"/>
      <c r="G130" s="2"/>
      <c r="H130" s="2"/>
      <c r="I130" s="2" t="str">
        <f t="shared" si="1"/>
        <v/>
      </c>
      <c r="J130" s="3"/>
      <c r="K130" s="5" t="str">
        <f>IFERROR(Tabla3413[[#This Row],[USD]]/$B$1,"")</f>
        <v/>
      </c>
    </row>
    <row r="131" spans="4:11" ht="15.75" x14ac:dyDescent="0.25">
      <c r="D131" s="2">
        <v>130</v>
      </c>
      <c r="E131" s="6"/>
      <c r="F131" s="2"/>
      <c r="G131" s="2"/>
      <c r="H131" s="2"/>
      <c r="I131" s="2" t="str">
        <f t="shared" ref="I131:I194" si="2">IF(J131="","",IF(J131&gt;3,"Ganado",IF(J131&lt;-3,"Perdido","Break Even")))</f>
        <v/>
      </c>
      <c r="J131" s="3"/>
      <c r="K131" s="5" t="str">
        <f>IFERROR(Tabla3413[[#This Row],[USD]]/$B$1,"")</f>
        <v/>
      </c>
    </row>
    <row r="132" spans="4:11" ht="15.75" x14ac:dyDescent="0.25">
      <c r="D132" s="2">
        <v>131</v>
      </c>
      <c r="E132" s="6"/>
      <c r="F132" s="2"/>
      <c r="G132" s="2"/>
      <c r="H132" s="2"/>
      <c r="I132" s="2" t="str">
        <f t="shared" si="2"/>
        <v/>
      </c>
      <c r="J132" s="3"/>
      <c r="K132" s="5" t="str">
        <f>IFERROR(Tabla3413[[#This Row],[USD]]/$B$1,"")</f>
        <v/>
      </c>
    </row>
    <row r="133" spans="4:11" ht="15.75" x14ac:dyDescent="0.25">
      <c r="D133" s="2">
        <v>132</v>
      </c>
      <c r="E133" s="6"/>
      <c r="F133" s="2"/>
      <c r="G133" s="2"/>
      <c r="H133" s="2"/>
      <c r="I133" s="2" t="str">
        <f t="shared" si="2"/>
        <v/>
      </c>
      <c r="J133" s="3"/>
      <c r="K133" s="5" t="str">
        <f>IFERROR(Tabla3413[[#This Row],[USD]]/$B$1,"")</f>
        <v/>
      </c>
    </row>
    <row r="134" spans="4:11" ht="15.75" x14ac:dyDescent="0.25">
      <c r="D134" s="2">
        <v>133</v>
      </c>
      <c r="E134" s="6"/>
      <c r="F134" s="2"/>
      <c r="G134" s="2"/>
      <c r="H134" s="2"/>
      <c r="I134" s="2" t="str">
        <f t="shared" si="2"/>
        <v/>
      </c>
      <c r="J134" s="3"/>
      <c r="K134" s="5" t="str">
        <f>IFERROR(Tabla3413[[#This Row],[USD]]/$B$1,"")</f>
        <v/>
      </c>
    </row>
    <row r="135" spans="4:11" ht="15.75" x14ac:dyDescent="0.25">
      <c r="D135" s="2">
        <v>134</v>
      </c>
      <c r="E135" s="6"/>
      <c r="F135" s="2"/>
      <c r="G135" s="2"/>
      <c r="H135" s="2"/>
      <c r="I135" s="2" t="str">
        <f t="shared" si="2"/>
        <v/>
      </c>
      <c r="J135" s="3"/>
      <c r="K135" s="5" t="str">
        <f>IFERROR(Tabla3413[[#This Row],[USD]]/$B$1,"")</f>
        <v/>
      </c>
    </row>
    <row r="136" spans="4:11" ht="15.75" x14ac:dyDescent="0.25">
      <c r="D136" s="2">
        <v>135</v>
      </c>
      <c r="E136" s="6"/>
      <c r="F136" s="2"/>
      <c r="G136" s="2"/>
      <c r="H136" s="2"/>
      <c r="I136" s="2" t="str">
        <f t="shared" si="2"/>
        <v/>
      </c>
      <c r="J136" s="3"/>
      <c r="K136" s="5" t="str">
        <f>IFERROR(Tabla3413[[#This Row],[USD]]/$B$1,"")</f>
        <v/>
      </c>
    </row>
    <row r="137" spans="4:11" ht="15.75" x14ac:dyDescent="0.25">
      <c r="D137" s="2">
        <v>136</v>
      </c>
      <c r="E137" s="6"/>
      <c r="F137" s="2"/>
      <c r="G137" s="2"/>
      <c r="H137" s="2"/>
      <c r="I137" s="2" t="str">
        <f t="shared" si="2"/>
        <v/>
      </c>
      <c r="J137" s="3"/>
      <c r="K137" s="5" t="str">
        <f>IFERROR(Tabla3413[[#This Row],[USD]]/$B$1,"")</f>
        <v/>
      </c>
    </row>
    <row r="138" spans="4:11" ht="15.75" x14ac:dyDescent="0.25">
      <c r="D138" s="2">
        <v>137</v>
      </c>
      <c r="E138" s="6"/>
      <c r="F138" s="2"/>
      <c r="G138" s="2"/>
      <c r="H138" s="2"/>
      <c r="I138" s="2" t="str">
        <f t="shared" si="2"/>
        <v/>
      </c>
      <c r="J138" s="3"/>
      <c r="K138" s="5" t="str">
        <f>IFERROR(Tabla3413[[#This Row],[USD]]/$B$1,"")</f>
        <v/>
      </c>
    </row>
    <row r="139" spans="4:11" ht="15.75" x14ac:dyDescent="0.25">
      <c r="D139" s="2">
        <v>138</v>
      </c>
      <c r="E139" s="6"/>
      <c r="F139" s="2"/>
      <c r="G139" s="2"/>
      <c r="H139" s="2"/>
      <c r="I139" s="2" t="str">
        <f t="shared" si="2"/>
        <v/>
      </c>
      <c r="J139" s="3"/>
      <c r="K139" s="5" t="str">
        <f>IFERROR(Tabla3413[[#This Row],[USD]]/$B$1,"")</f>
        <v/>
      </c>
    </row>
    <row r="140" spans="4:11" ht="15.75" x14ac:dyDescent="0.25">
      <c r="D140" s="2">
        <v>139</v>
      </c>
      <c r="E140" s="6"/>
      <c r="F140" s="2"/>
      <c r="G140" s="2"/>
      <c r="H140" s="2"/>
      <c r="I140" s="2" t="str">
        <f t="shared" si="2"/>
        <v/>
      </c>
      <c r="J140" s="3"/>
      <c r="K140" s="5" t="str">
        <f>IFERROR(Tabla3413[[#This Row],[USD]]/$B$1,"")</f>
        <v/>
      </c>
    </row>
    <row r="141" spans="4:11" ht="15.75" x14ac:dyDescent="0.25">
      <c r="D141" s="2">
        <v>140</v>
      </c>
      <c r="E141" s="6"/>
      <c r="F141" s="2"/>
      <c r="G141" s="2"/>
      <c r="H141" s="2"/>
      <c r="I141" s="2" t="str">
        <f t="shared" si="2"/>
        <v/>
      </c>
      <c r="J141" s="3"/>
      <c r="K141" s="5" t="str">
        <f>IFERROR(Tabla3413[[#This Row],[USD]]/$B$1,"")</f>
        <v/>
      </c>
    </row>
    <row r="142" spans="4:11" ht="15.75" x14ac:dyDescent="0.25">
      <c r="D142" s="2">
        <v>141</v>
      </c>
      <c r="E142" s="6"/>
      <c r="F142" s="2"/>
      <c r="G142" s="2"/>
      <c r="H142" s="2"/>
      <c r="I142" s="2" t="str">
        <f t="shared" si="2"/>
        <v/>
      </c>
      <c r="J142" s="3"/>
      <c r="K142" s="5" t="str">
        <f>IFERROR(Tabla3413[[#This Row],[USD]]/$B$1,"")</f>
        <v/>
      </c>
    </row>
    <row r="143" spans="4:11" ht="15.75" x14ac:dyDescent="0.25">
      <c r="D143" s="2">
        <v>142</v>
      </c>
      <c r="E143" s="6"/>
      <c r="F143" s="2"/>
      <c r="G143" s="2"/>
      <c r="H143" s="2"/>
      <c r="I143" s="2" t="str">
        <f t="shared" si="2"/>
        <v/>
      </c>
      <c r="J143" s="3"/>
      <c r="K143" s="5" t="str">
        <f>IFERROR(Tabla3413[[#This Row],[USD]]/$B$1,"")</f>
        <v/>
      </c>
    </row>
    <row r="144" spans="4:11" ht="15.75" x14ac:dyDescent="0.25">
      <c r="D144" s="2">
        <v>143</v>
      </c>
      <c r="E144" s="6"/>
      <c r="F144" s="2"/>
      <c r="G144" s="2"/>
      <c r="H144" s="2"/>
      <c r="I144" s="2" t="str">
        <f t="shared" si="2"/>
        <v/>
      </c>
      <c r="J144" s="3"/>
      <c r="K144" s="5" t="str">
        <f>IFERROR(Tabla3413[[#This Row],[USD]]/$B$1,"")</f>
        <v/>
      </c>
    </row>
    <row r="145" spans="4:11" ht="15.75" x14ac:dyDescent="0.25">
      <c r="D145" s="2">
        <v>144</v>
      </c>
      <c r="E145" s="6"/>
      <c r="F145" s="2"/>
      <c r="G145" s="2"/>
      <c r="H145" s="2"/>
      <c r="I145" s="2" t="str">
        <f t="shared" si="2"/>
        <v/>
      </c>
      <c r="J145" s="3"/>
      <c r="K145" s="5" t="str">
        <f>IFERROR(Tabla3413[[#This Row],[USD]]/$B$1,"")</f>
        <v/>
      </c>
    </row>
    <row r="146" spans="4:11" ht="15.75" x14ac:dyDescent="0.25">
      <c r="D146" s="2">
        <v>145</v>
      </c>
      <c r="E146" s="6"/>
      <c r="F146" s="2"/>
      <c r="G146" s="2"/>
      <c r="H146" s="2"/>
      <c r="I146" s="2" t="str">
        <f t="shared" si="2"/>
        <v/>
      </c>
      <c r="J146" s="3"/>
      <c r="K146" s="5" t="str">
        <f>IFERROR(Tabla3413[[#This Row],[USD]]/$B$1,"")</f>
        <v/>
      </c>
    </row>
    <row r="147" spans="4:11" ht="15.75" x14ac:dyDescent="0.25">
      <c r="D147" s="2">
        <v>146</v>
      </c>
      <c r="E147" s="6"/>
      <c r="F147" s="2"/>
      <c r="G147" s="2"/>
      <c r="H147" s="2"/>
      <c r="I147" s="2" t="str">
        <f t="shared" si="2"/>
        <v/>
      </c>
      <c r="J147" s="3"/>
      <c r="K147" s="5" t="str">
        <f>IFERROR(Tabla3413[[#This Row],[USD]]/$B$1,"")</f>
        <v/>
      </c>
    </row>
    <row r="148" spans="4:11" ht="15.75" x14ac:dyDescent="0.25">
      <c r="D148" s="2">
        <v>147</v>
      </c>
      <c r="E148" s="6"/>
      <c r="F148" s="2"/>
      <c r="G148" s="2"/>
      <c r="H148" s="2"/>
      <c r="I148" s="2" t="str">
        <f t="shared" si="2"/>
        <v/>
      </c>
      <c r="J148" s="3"/>
      <c r="K148" s="5" t="str">
        <f>IFERROR(Tabla3413[[#This Row],[USD]]/$B$1,"")</f>
        <v/>
      </c>
    </row>
    <row r="149" spans="4:11" ht="15.75" x14ac:dyDescent="0.25">
      <c r="D149" s="2">
        <v>148</v>
      </c>
      <c r="E149" s="6"/>
      <c r="F149" s="2"/>
      <c r="G149" s="2"/>
      <c r="H149" s="2"/>
      <c r="I149" s="2" t="str">
        <f t="shared" si="2"/>
        <v/>
      </c>
      <c r="J149" s="3"/>
      <c r="K149" s="5" t="str">
        <f>IFERROR(Tabla3413[[#This Row],[USD]]/$B$1,"")</f>
        <v/>
      </c>
    </row>
    <row r="150" spans="4:11" ht="15.75" x14ac:dyDescent="0.25">
      <c r="D150" s="2">
        <v>149</v>
      </c>
      <c r="E150" s="6"/>
      <c r="F150" s="2"/>
      <c r="G150" s="2"/>
      <c r="H150" s="2"/>
      <c r="I150" s="2" t="str">
        <f t="shared" si="2"/>
        <v/>
      </c>
      <c r="J150" s="3"/>
      <c r="K150" s="5" t="str">
        <f>IFERROR(Tabla3413[[#This Row],[USD]]/$B$1,"")</f>
        <v/>
      </c>
    </row>
    <row r="151" spans="4:11" ht="15.75" x14ac:dyDescent="0.25">
      <c r="D151" s="2">
        <v>150</v>
      </c>
      <c r="E151" s="6"/>
      <c r="F151" s="2"/>
      <c r="G151" s="2"/>
      <c r="H151" s="2"/>
      <c r="I151" s="2" t="str">
        <f t="shared" si="2"/>
        <v/>
      </c>
      <c r="J151" s="3"/>
      <c r="K151" s="5" t="str">
        <f>IFERROR(Tabla3413[[#This Row],[USD]]/$B$1,"")</f>
        <v/>
      </c>
    </row>
    <row r="152" spans="4:11" ht="15.75" x14ac:dyDescent="0.25">
      <c r="D152" s="2">
        <v>151</v>
      </c>
      <c r="E152" s="6"/>
      <c r="F152" s="2"/>
      <c r="G152" s="2"/>
      <c r="H152" s="2"/>
      <c r="I152" s="2" t="str">
        <f t="shared" si="2"/>
        <v/>
      </c>
      <c r="J152" s="3"/>
      <c r="K152" s="5" t="str">
        <f>IFERROR(Tabla3413[[#This Row],[USD]]/$B$1,"")</f>
        <v/>
      </c>
    </row>
    <row r="153" spans="4:11" ht="15.75" x14ac:dyDescent="0.25">
      <c r="D153" s="2">
        <v>152</v>
      </c>
      <c r="E153" s="6"/>
      <c r="F153" s="2"/>
      <c r="G153" s="2"/>
      <c r="H153" s="2"/>
      <c r="I153" s="2" t="str">
        <f t="shared" si="2"/>
        <v/>
      </c>
      <c r="J153" s="3"/>
      <c r="K153" s="5" t="str">
        <f>IFERROR(Tabla3413[[#This Row],[USD]]/$B$1,"")</f>
        <v/>
      </c>
    </row>
    <row r="154" spans="4:11" ht="15.75" x14ac:dyDescent="0.25">
      <c r="D154" s="2">
        <v>153</v>
      </c>
      <c r="E154" s="6"/>
      <c r="F154" s="2"/>
      <c r="G154" s="2"/>
      <c r="H154" s="2"/>
      <c r="I154" s="2" t="str">
        <f t="shared" si="2"/>
        <v/>
      </c>
      <c r="J154" s="3"/>
      <c r="K154" s="5" t="str">
        <f>IFERROR(Tabla3413[[#This Row],[USD]]/$B$1,"")</f>
        <v/>
      </c>
    </row>
    <row r="155" spans="4:11" ht="15.75" x14ac:dyDescent="0.25">
      <c r="D155" s="2">
        <v>154</v>
      </c>
      <c r="E155" s="6"/>
      <c r="F155" s="2"/>
      <c r="G155" s="2"/>
      <c r="H155" s="2"/>
      <c r="I155" s="2" t="str">
        <f t="shared" si="2"/>
        <v/>
      </c>
      <c r="J155" s="3"/>
      <c r="K155" s="5" t="str">
        <f>IFERROR(Tabla3413[[#This Row],[USD]]/$B$1,"")</f>
        <v/>
      </c>
    </row>
    <row r="156" spans="4:11" ht="15.75" x14ac:dyDescent="0.25">
      <c r="D156" s="2">
        <v>155</v>
      </c>
      <c r="E156" s="6"/>
      <c r="F156" s="2"/>
      <c r="G156" s="2"/>
      <c r="H156" s="2"/>
      <c r="I156" s="2" t="str">
        <f t="shared" si="2"/>
        <v/>
      </c>
      <c r="J156" s="3"/>
      <c r="K156" s="5" t="str">
        <f>IFERROR(Tabla3413[[#This Row],[USD]]/$B$1,"")</f>
        <v/>
      </c>
    </row>
    <row r="157" spans="4:11" ht="15.75" x14ac:dyDescent="0.25">
      <c r="D157" s="2">
        <v>156</v>
      </c>
      <c r="E157" s="6"/>
      <c r="F157" s="2"/>
      <c r="G157" s="2"/>
      <c r="H157" s="2"/>
      <c r="I157" s="2" t="str">
        <f t="shared" si="2"/>
        <v/>
      </c>
      <c r="J157" s="3"/>
      <c r="K157" s="5" t="str">
        <f>IFERROR(Tabla3413[[#This Row],[USD]]/$B$1,"")</f>
        <v/>
      </c>
    </row>
    <row r="158" spans="4:11" ht="15.75" x14ac:dyDescent="0.25">
      <c r="D158" s="2">
        <v>157</v>
      </c>
      <c r="E158" s="6"/>
      <c r="F158" s="2"/>
      <c r="G158" s="2"/>
      <c r="H158" s="2"/>
      <c r="I158" s="2" t="str">
        <f t="shared" si="2"/>
        <v/>
      </c>
      <c r="J158" s="3"/>
      <c r="K158" s="5" t="str">
        <f>IFERROR(Tabla3413[[#This Row],[USD]]/$B$1,"")</f>
        <v/>
      </c>
    </row>
    <row r="159" spans="4:11" ht="15.75" x14ac:dyDescent="0.25">
      <c r="D159" s="2">
        <v>158</v>
      </c>
      <c r="E159" s="6"/>
      <c r="F159" s="2"/>
      <c r="G159" s="2"/>
      <c r="H159" s="2"/>
      <c r="I159" s="2" t="str">
        <f t="shared" si="2"/>
        <v/>
      </c>
      <c r="J159" s="3"/>
      <c r="K159" s="5" t="str">
        <f>IFERROR(Tabla3413[[#This Row],[USD]]/$B$1,"")</f>
        <v/>
      </c>
    </row>
    <row r="160" spans="4:11" ht="15.75" x14ac:dyDescent="0.25">
      <c r="D160" s="2">
        <v>159</v>
      </c>
      <c r="E160" s="6"/>
      <c r="F160" s="2"/>
      <c r="G160" s="2"/>
      <c r="H160" s="2"/>
      <c r="I160" s="2" t="str">
        <f t="shared" si="2"/>
        <v/>
      </c>
      <c r="J160" s="3"/>
      <c r="K160" s="5" t="str">
        <f>IFERROR(Tabla3413[[#This Row],[USD]]/$B$1,"")</f>
        <v/>
      </c>
    </row>
    <row r="161" spans="4:11" ht="15.75" x14ac:dyDescent="0.25">
      <c r="D161" s="2">
        <v>160</v>
      </c>
      <c r="E161" s="6"/>
      <c r="F161" s="2"/>
      <c r="G161" s="2"/>
      <c r="H161" s="2"/>
      <c r="I161" s="2" t="str">
        <f t="shared" si="2"/>
        <v/>
      </c>
      <c r="J161" s="3"/>
      <c r="K161" s="5" t="str">
        <f>IFERROR(Tabla3413[[#This Row],[USD]]/$B$1,"")</f>
        <v/>
      </c>
    </row>
    <row r="162" spans="4:11" ht="15.75" x14ac:dyDescent="0.25">
      <c r="D162" s="2">
        <v>161</v>
      </c>
      <c r="E162" s="6"/>
      <c r="F162" s="2"/>
      <c r="G162" s="2"/>
      <c r="H162" s="2"/>
      <c r="I162" s="2" t="str">
        <f t="shared" si="2"/>
        <v/>
      </c>
      <c r="J162" s="3"/>
      <c r="K162" s="5" t="str">
        <f>IFERROR(Tabla3413[[#This Row],[USD]]/$B$1,"")</f>
        <v/>
      </c>
    </row>
    <row r="163" spans="4:11" ht="15.75" x14ac:dyDescent="0.25">
      <c r="D163" s="2">
        <v>162</v>
      </c>
      <c r="E163" s="6"/>
      <c r="F163" s="2"/>
      <c r="G163" s="2"/>
      <c r="H163" s="2"/>
      <c r="I163" s="2" t="str">
        <f t="shared" si="2"/>
        <v/>
      </c>
      <c r="J163" s="3"/>
      <c r="K163" s="5" t="str">
        <f>IFERROR(Tabla3413[[#This Row],[USD]]/$B$1,"")</f>
        <v/>
      </c>
    </row>
    <row r="164" spans="4:11" ht="15.75" x14ac:dyDescent="0.25">
      <c r="D164" s="2">
        <v>163</v>
      </c>
      <c r="E164" s="6"/>
      <c r="F164" s="2"/>
      <c r="G164" s="2"/>
      <c r="H164" s="2"/>
      <c r="I164" s="2" t="str">
        <f t="shared" si="2"/>
        <v/>
      </c>
      <c r="J164" s="3"/>
      <c r="K164" s="5" t="str">
        <f>IFERROR(Tabla3413[[#This Row],[USD]]/$B$1,"")</f>
        <v/>
      </c>
    </row>
    <row r="165" spans="4:11" ht="15.75" x14ac:dyDescent="0.25">
      <c r="D165" s="2">
        <v>164</v>
      </c>
      <c r="E165" s="6"/>
      <c r="F165" s="2"/>
      <c r="G165" s="2"/>
      <c r="H165" s="2"/>
      <c r="I165" s="2" t="str">
        <f t="shared" si="2"/>
        <v/>
      </c>
      <c r="J165" s="3"/>
      <c r="K165" s="5" t="str">
        <f>IFERROR(Tabla3413[[#This Row],[USD]]/$B$1,"")</f>
        <v/>
      </c>
    </row>
    <row r="166" spans="4:11" ht="15.75" x14ac:dyDescent="0.25">
      <c r="D166" s="2">
        <v>165</v>
      </c>
      <c r="E166" s="6"/>
      <c r="F166" s="2"/>
      <c r="G166" s="2"/>
      <c r="H166" s="2"/>
      <c r="I166" s="2" t="str">
        <f t="shared" si="2"/>
        <v/>
      </c>
      <c r="J166" s="3"/>
      <c r="K166" s="5" t="str">
        <f>IFERROR(Tabla3413[[#This Row],[USD]]/$B$1,"")</f>
        <v/>
      </c>
    </row>
    <row r="167" spans="4:11" ht="15.75" x14ac:dyDescent="0.25">
      <c r="D167" s="2">
        <v>166</v>
      </c>
      <c r="E167" s="6"/>
      <c r="F167" s="2"/>
      <c r="G167" s="2"/>
      <c r="H167" s="2"/>
      <c r="I167" s="2" t="str">
        <f t="shared" si="2"/>
        <v/>
      </c>
      <c r="J167" s="3"/>
      <c r="K167" s="5" t="str">
        <f>IFERROR(Tabla3413[[#This Row],[USD]]/$B$1,"")</f>
        <v/>
      </c>
    </row>
    <row r="168" spans="4:11" ht="15.75" x14ac:dyDescent="0.25">
      <c r="D168" s="2">
        <v>167</v>
      </c>
      <c r="E168" s="6"/>
      <c r="F168" s="2"/>
      <c r="G168" s="2"/>
      <c r="H168" s="2"/>
      <c r="I168" s="2" t="str">
        <f t="shared" si="2"/>
        <v/>
      </c>
      <c r="J168" s="3"/>
      <c r="K168" s="5" t="str">
        <f>IFERROR(Tabla3413[[#This Row],[USD]]/$B$1,"")</f>
        <v/>
      </c>
    </row>
    <row r="169" spans="4:11" ht="15.75" x14ac:dyDescent="0.25">
      <c r="D169" s="2">
        <v>168</v>
      </c>
      <c r="E169" s="6"/>
      <c r="F169" s="2"/>
      <c r="G169" s="2"/>
      <c r="H169" s="2"/>
      <c r="I169" s="2" t="str">
        <f t="shared" si="2"/>
        <v/>
      </c>
      <c r="J169" s="3"/>
      <c r="K169" s="5" t="str">
        <f>IFERROR(Tabla3413[[#This Row],[USD]]/$B$1,"")</f>
        <v/>
      </c>
    </row>
    <row r="170" spans="4:11" ht="15.75" x14ac:dyDescent="0.25">
      <c r="D170" s="2">
        <v>169</v>
      </c>
      <c r="E170" s="6"/>
      <c r="F170" s="2"/>
      <c r="G170" s="2"/>
      <c r="H170" s="2"/>
      <c r="I170" s="2" t="str">
        <f t="shared" si="2"/>
        <v/>
      </c>
      <c r="J170" s="3"/>
      <c r="K170" s="5" t="str">
        <f>IFERROR(Tabla3413[[#This Row],[USD]]/$B$1,"")</f>
        <v/>
      </c>
    </row>
    <row r="171" spans="4:11" ht="15.75" x14ac:dyDescent="0.25">
      <c r="D171" s="2">
        <v>170</v>
      </c>
      <c r="E171" s="6"/>
      <c r="F171" s="2"/>
      <c r="G171" s="2"/>
      <c r="H171" s="2"/>
      <c r="I171" s="2" t="str">
        <f t="shared" si="2"/>
        <v/>
      </c>
      <c r="J171" s="3"/>
      <c r="K171" s="5" t="str">
        <f>IFERROR(Tabla3413[[#This Row],[USD]]/$B$1,"")</f>
        <v/>
      </c>
    </row>
    <row r="172" spans="4:11" ht="15.75" x14ac:dyDescent="0.25">
      <c r="D172" s="2">
        <v>171</v>
      </c>
      <c r="E172" s="6"/>
      <c r="F172" s="2"/>
      <c r="G172" s="2"/>
      <c r="H172" s="2"/>
      <c r="I172" s="2" t="str">
        <f t="shared" si="2"/>
        <v/>
      </c>
      <c r="J172" s="3"/>
      <c r="K172" s="5" t="str">
        <f>IFERROR(Tabla3413[[#This Row],[USD]]/$B$1,"")</f>
        <v/>
      </c>
    </row>
    <row r="173" spans="4:11" ht="15.75" x14ac:dyDescent="0.25">
      <c r="D173" s="2">
        <v>172</v>
      </c>
      <c r="E173" s="6"/>
      <c r="F173" s="2"/>
      <c r="G173" s="2"/>
      <c r="H173" s="2"/>
      <c r="I173" s="2" t="str">
        <f t="shared" si="2"/>
        <v/>
      </c>
      <c r="J173" s="3"/>
      <c r="K173" s="5" t="str">
        <f>IFERROR(Tabla3413[[#This Row],[USD]]/$B$1,"")</f>
        <v/>
      </c>
    </row>
    <row r="174" spans="4:11" ht="15.75" x14ac:dyDescent="0.25">
      <c r="D174" s="2">
        <v>173</v>
      </c>
      <c r="E174" s="6"/>
      <c r="F174" s="2"/>
      <c r="G174" s="2"/>
      <c r="H174" s="2"/>
      <c r="I174" s="2" t="str">
        <f t="shared" si="2"/>
        <v/>
      </c>
      <c r="J174" s="3"/>
      <c r="K174" s="5" t="str">
        <f>IFERROR(Tabla3413[[#This Row],[USD]]/$B$1,"")</f>
        <v/>
      </c>
    </row>
    <row r="175" spans="4:11" ht="15.75" x14ac:dyDescent="0.25">
      <c r="D175" s="2">
        <v>174</v>
      </c>
      <c r="E175" s="6"/>
      <c r="F175" s="2"/>
      <c r="G175" s="2"/>
      <c r="H175" s="2"/>
      <c r="I175" s="2" t="str">
        <f t="shared" si="2"/>
        <v/>
      </c>
      <c r="J175" s="3"/>
      <c r="K175" s="5" t="str">
        <f>IFERROR(Tabla3413[[#This Row],[USD]]/$B$1,"")</f>
        <v/>
      </c>
    </row>
    <row r="176" spans="4:11" ht="15.75" x14ac:dyDescent="0.25">
      <c r="D176" s="2">
        <v>175</v>
      </c>
      <c r="E176" s="6"/>
      <c r="F176" s="2"/>
      <c r="G176" s="2"/>
      <c r="H176" s="2"/>
      <c r="I176" s="2" t="str">
        <f t="shared" si="2"/>
        <v/>
      </c>
      <c r="J176" s="3"/>
      <c r="K176" s="5" t="str">
        <f>IFERROR(Tabla3413[[#This Row],[USD]]/$B$1,"")</f>
        <v/>
      </c>
    </row>
    <row r="177" spans="4:11" ht="15.75" x14ac:dyDescent="0.25">
      <c r="D177" s="2">
        <v>176</v>
      </c>
      <c r="E177" s="6"/>
      <c r="F177" s="2"/>
      <c r="G177" s="2"/>
      <c r="H177" s="2"/>
      <c r="I177" s="2" t="str">
        <f t="shared" si="2"/>
        <v/>
      </c>
      <c r="J177" s="3"/>
      <c r="K177" s="5" t="str">
        <f>IFERROR(Tabla3413[[#This Row],[USD]]/$B$1,"")</f>
        <v/>
      </c>
    </row>
    <row r="178" spans="4:11" ht="15.75" x14ac:dyDescent="0.25">
      <c r="D178" s="2">
        <v>177</v>
      </c>
      <c r="E178" s="6"/>
      <c r="F178" s="2"/>
      <c r="G178" s="2"/>
      <c r="H178" s="2"/>
      <c r="I178" s="2" t="str">
        <f t="shared" si="2"/>
        <v/>
      </c>
      <c r="J178" s="3"/>
      <c r="K178" s="5" t="str">
        <f>IFERROR(Tabla3413[[#This Row],[USD]]/$B$1,"")</f>
        <v/>
      </c>
    </row>
    <row r="179" spans="4:11" ht="15.75" x14ac:dyDescent="0.25">
      <c r="D179" s="2">
        <v>178</v>
      </c>
      <c r="E179" s="6"/>
      <c r="F179" s="2"/>
      <c r="G179" s="2"/>
      <c r="H179" s="2"/>
      <c r="I179" s="2" t="str">
        <f t="shared" si="2"/>
        <v/>
      </c>
      <c r="J179" s="3"/>
      <c r="K179" s="5" t="str">
        <f>IFERROR(Tabla3413[[#This Row],[USD]]/$B$1,"")</f>
        <v/>
      </c>
    </row>
    <row r="180" spans="4:11" ht="15.75" x14ac:dyDescent="0.25">
      <c r="D180" s="2">
        <v>179</v>
      </c>
      <c r="E180" s="6"/>
      <c r="F180" s="2"/>
      <c r="G180" s="2"/>
      <c r="H180" s="2"/>
      <c r="I180" s="2" t="str">
        <f t="shared" si="2"/>
        <v/>
      </c>
      <c r="J180" s="3"/>
      <c r="K180" s="5" t="str">
        <f>IFERROR(Tabla3413[[#This Row],[USD]]/$B$1,"")</f>
        <v/>
      </c>
    </row>
    <row r="181" spans="4:11" ht="15.75" x14ac:dyDescent="0.25">
      <c r="D181" s="2">
        <v>180</v>
      </c>
      <c r="E181" s="6"/>
      <c r="F181" s="2"/>
      <c r="G181" s="2"/>
      <c r="H181" s="2"/>
      <c r="I181" s="2" t="str">
        <f t="shared" si="2"/>
        <v/>
      </c>
      <c r="J181" s="3"/>
      <c r="K181" s="5" t="str">
        <f>IFERROR(Tabla3413[[#This Row],[USD]]/$B$1,"")</f>
        <v/>
      </c>
    </row>
    <row r="182" spans="4:11" ht="15.75" x14ac:dyDescent="0.25">
      <c r="D182" s="2">
        <v>181</v>
      </c>
      <c r="E182" s="6"/>
      <c r="F182" s="2"/>
      <c r="G182" s="2"/>
      <c r="H182" s="2"/>
      <c r="I182" s="2" t="str">
        <f t="shared" si="2"/>
        <v/>
      </c>
      <c r="J182" s="3"/>
      <c r="K182" s="5" t="str">
        <f>IFERROR(Tabla3413[[#This Row],[USD]]/$B$1,"")</f>
        <v/>
      </c>
    </row>
    <row r="183" spans="4:11" ht="15.75" x14ac:dyDescent="0.25">
      <c r="D183" s="2">
        <v>182</v>
      </c>
      <c r="E183" s="6"/>
      <c r="F183" s="2"/>
      <c r="G183" s="2"/>
      <c r="H183" s="2"/>
      <c r="I183" s="2" t="str">
        <f t="shared" si="2"/>
        <v/>
      </c>
      <c r="J183" s="3"/>
      <c r="K183" s="5" t="str">
        <f>IFERROR(Tabla3413[[#This Row],[USD]]/$B$1,"")</f>
        <v/>
      </c>
    </row>
    <row r="184" spans="4:11" ht="15.75" x14ac:dyDescent="0.25">
      <c r="D184" s="2">
        <v>183</v>
      </c>
      <c r="E184" s="6"/>
      <c r="F184" s="2"/>
      <c r="G184" s="2"/>
      <c r="H184" s="2"/>
      <c r="I184" s="2" t="str">
        <f t="shared" si="2"/>
        <v/>
      </c>
      <c r="J184" s="3"/>
      <c r="K184" s="5" t="str">
        <f>IFERROR(Tabla3413[[#This Row],[USD]]/$B$1,"")</f>
        <v/>
      </c>
    </row>
    <row r="185" spans="4:11" ht="15.75" x14ac:dyDescent="0.25">
      <c r="D185" s="2">
        <v>184</v>
      </c>
      <c r="E185" s="6"/>
      <c r="F185" s="2"/>
      <c r="G185" s="2"/>
      <c r="H185" s="2"/>
      <c r="I185" s="2" t="str">
        <f t="shared" si="2"/>
        <v/>
      </c>
      <c r="J185" s="3"/>
      <c r="K185" s="5" t="str">
        <f>IFERROR(Tabla3413[[#This Row],[USD]]/$B$1,"")</f>
        <v/>
      </c>
    </row>
    <row r="186" spans="4:11" ht="15.75" x14ac:dyDescent="0.25">
      <c r="D186" s="2">
        <v>185</v>
      </c>
      <c r="E186" s="6"/>
      <c r="F186" s="2"/>
      <c r="G186" s="2"/>
      <c r="H186" s="2"/>
      <c r="I186" s="2" t="str">
        <f t="shared" si="2"/>
        <v/>
      </c>
      <c r="J186" s="3"/>
      <c r="K186" s="5" t="str">
        <f>IFERROR(Tabla3413[[#This Row],[USD]]/$B$1,"")</f>
        <v/>
      </c>
    </row>
    <row r="187" spans="4:11" ht="15.75" x14ac:dyDescent="0.25">
      <c r="D187" s="2">
        <v>186</v>
      </c>
      <c r="E187" s="6"/>
      <c r="F187" s="2"/>
      <c r="G187" s="2"/>
      <c r="H187" s="2"/>
      <c r="I187" s="2" t="str">
        <f t="shared" si="2"/>
        <v/>
      </c>
      <c r="J187" s="3"/>
      <c r="K187" s="5" t="str">
        <f>IFERROR(Tabla3413[[#This Row],[USD]]/$B$1,"")</f>
        <v/>
      </c>
    </row>
    <row r="188" spans="4:11" ht="15.75" x14ac:dyDescent="0.25">
      <c r="D188" s="2">
        <v>187</v>
      </c>
      <c r="E188" s="6"/>
      <c r="F188" s="2"/>
      <c r="G188" s="2"/>
      <c r="H188" s="2"/>
      <c r="I188" s="2" t="str">
        <f t="shared" si="2"/>
        <v/>
      </c>
      <c r="J188" s="3"/>
      <c r="K188" s="5" t="str">
        <f>IFERROR(Tabla3413[[#This Row],[USD]]/$B$1,"")</f>
        <v/>
      </c>
    </row>
    <row r="189" spans="4:11" ht="15.75" x14ac:dyDescent="0.25">
      <c r="D189" s="2">
        <v>188</v>
      </c>
      <c r="E189" s="6"/>
      <c r="F189" s="2"/>
      <c r="G189" s="2"/>
      <c r="H189" s="2"/>
      <c r="I189" s="2" t="str">
        <f t="shared" si="2"/>
        <v/>
      </c>
      <c r="J189" s="3"/>
      <c r="K189" s="5" t="str">
        <f>IFERROR(Tabla3413[[#This Row],[USD]]/$B$1,"")</f>
        <v/>
      </c>
    </row>
    <row r="190" spans="4:11" ht="15.75" x14ac:dyDescent="0.25">
      <c r="D190" s="2">
        <v>189</v>
      </c>
      <c r="E190" s="6"/>
      <c r="F190" s="2"/>
      <c r="G190" s="2"/>
      <c r="H190" s="2"/>
      <c r="I190" s="2" t="str">
        <f t="shared" si="2"/>
        <v/>
      </c>
      <c r="J190" s="3"/>
      <c r="K190" s="5" t="str">
        <f>IFERROR(Tabla3413[[#This Row],[USD]]/$B$1,"")</f>
        <v/>
      </c>
    </row>
    <row r="191" spans="4:11" ht="15.75" x14ac:dyDescent="0.25">
      <c r="D191" s="2">
        <v>190</v>
      </c>
      <c r="E191" s="6"/>
      <c r="F191" s="2"/>
      <c r="G191" s="2"/>
      <c r="H191" s="2"/>
      <c r="I191" s="2" t="str">
        <f t="shared" si="2"/>
        <v/>
      </c>
      <c r="J191" s="3"/>
      <c r="K191" s="5" t="str">
        <f>IFERROR(Tabla3413[[#This Row],[USD]]/$B$1,"")</f>
        <v/>
      </c>
    </row>
    <row r="192" spans="4:11" ht="15.75" x14ac:dyDescent="0.25">
      <c r="D192" s="2">
        <v>191</v>
      </c>
      <c r="E192" s="6"/>
      <c r="F192" s="2"/>
      <c r="G192" s="2"/>
      <c r="H192" s="2"/>
      <c r="I192" s="2" t="str">
        <f t="shared" si="2"/>
        <v/>
      </c>
      <c r="J192" s="3"/>
      <c r="K192" s="5" t="str">
        <f>IFERROR(Tabla3413[[#This Row],[USD]]/$B$1,"")</f>
        <v/>
      </c>
    </row>
    <row r="193" spans="4:11" ht="15.75" x14ac:dyDescent="0.25">
      <c r="D193" s="2">
        <v>192</v>
      </c>
      <c r="E193" s="6"/>
      <c r="F193" s="2"/>
      <c r="G193" s="2"/>
      <c r="H193" s="2"/>
      <c r="I193" s="2" t="str">
        <f t="shared" si="2"/>
        <v/>
      </c>
      <c r="J193" s="3"/>
      <c r="K193" s="5" t="str">
        <f>IFERROR(Tabla3413[[#This Row],[USD]]/$B$1,"")</f>
        <v/>
      </c>
    </row>
    <row r="194" spans="4:11" ht="15.75" x14ac:dyDescent="0.25">
      <c r="D194" s="2">
        <v>193</v>
      </c>
      <c r="E194" s="6"/>
      <c r="F194" s="2"/>
      <c r="G194" s="2"/>
      <c r="H194" s="2"/>
      <c r="I194" s="2" t="str">
        <f t="shared" si="2"/>
        <v/>
      </c>
      <c r="J194" s="3"/>
      <c r="K194" s="5" t="str">
        <f>IFERROR(Tabla3413[[#This Row],[USD]]/$B$1,"")</f>
        <v/>
      </c>
    </row>
    <row r="195" spans="4:11" ht="15.75" x14ac:dyDescent="0.25">
      <c r="D195" s="2">
        <v>194</v>
      </c>
      <c r="E195" s="6"/>
      <c r="F195" s="2"/>
      <c r="G195" s="2"/>
      <c r="H195" s="2"/>
      <c r="I195" s="2" t="str">
        <f t="shared" ref="I195:I258" si="3">IF(J195="","",IF(J195&gt;3,"Ganado",IF(J195&lt;-3,"Perdido","Break Even")))</f>
        <v/>
      </c>
      <c r="J195" s="3"/>
      <c r="K195" s="5" t="str">
        <f>IFERROR(Tabla3413[[#This Row],[USD]]/$B$1,"")</f>
        <v/>
      </c>
    </row>
    <row r="196" spans="4:11" ht="15.75" x14ac:dyDescent="0.25">
      <c r="D196" s="2">
        <v>195</v>
      </c>
      <c r="E196" s="6"/>
      <c r="F196" s="2"/>
      <c r="G196" s="2"/>
      <c r="H196" s="2"/>
      <c r="I196" s="2" t="str">
        <f t="shared" si="3"/>
        <v/>
      </c>
      <c r="J196" s="3"/>
      <c r="K196" s="5" t="str">
        <f>IFERROR(Tabla3413[[#This Row],[USD]]/$B$1,"")</f>
        <v/>
      </c>
    </row>
    <row r="197" spans="4:11" ht="15.75" x14ac:dyDescent="0.25">
      <c r="D197" s="2">
        <v>196</v>
      </c>
      <c r="E197" s="6"/>
      <c r="F197" s="2"/>
      <c r="G197" s="2"/>
      <c r="H197" s="2"/>
      <c r="I197" s="2" t="str">
        <f t="shared" si="3"/>
        <v/>
      </c>
      <c r="J197" s="3"/>
      <c r="K197" s="5" t="str">
        <f>IFERROR(Tabla3413[[#This Row],[USD]]/$B$1,"")</f>
        <v/>
      </c>
    </row>
    <row r="198" spans="4:11" ht="15.75" x14ac:dyDescent="0.25">
      <c r="D198" s="2">
        <v>197</v>
      </c>
      <c r="E198" s="6"/>
      <c r="F198" s="2"/>
      <c r="G198" s="2"/>
      <c r="H198" s="2"/>
      <c r="I198" s="2" t="str">
        <f t="shared" si="3"/>
        <v/>
      </c>
      <c r="J198" s="3"/>
      <c r="K198" s="5" t="str">
        <f>IFERROR(Tabla3413[[#This Row],[USD]]/$B$1,"")</f>
        <v/>
      </c>
    </row>
    <row r="199" spans="4:11" ht="15.75" x14ac:dyDescent="0.25">
      <c r="D199" s="2">
        <v>198</v>
      </c>
      <c r="E199" s="6"/>
      <c r="F199" s="2"/>
      <c r="G199" s="2"/>
      <c r="H199" s="2"/>
      <c r="I199" s="2" t="str">
        <f t="shared" si="3"/>
        <v/>
      </c>
      <c r="J199" s="3"/>
      <c r="K199" s="5" t="str">
        <f>IFERROR(Tabla3413[[#This Row],[USD]]/$B$1,"")</f>
        <v/>
      </c>
    </row>
    <row r="200" spans="4:11" ht="15.75" x14ac:dyDescent="0.25">
      <c r="D200" s="2">
        <v>199</v>
      </c>
      <c r="E200" s="6"/>
      <c r="F200" s="2"/>
      <c r="G200" s="2"/>
      <c r="H200" s="2"/>
      <c r="I200" s="2" t="str">
        <f t="shared" si="3"/>
        <v/>
      </c>
      <c r="J200" s="3"/>
      <c r="K200" s="5" t="str">
        <f>IFERROR(Tabla3413[[#This Row],[USD]]/$B$1,"")</f>
        <v/>
      </c>
    </row>
    <row r="201" spans="4:11" ht="15.75" x14ac:dyDescent="0.25">
      <c r="D201" s="2">
        <v>200</v>
      </c>
      <c r="E201" s="6"/>
      <c r="F201" s="2"/>
      <c r="G201" s="2"/>
      <c r="H201" s="2"/>
      <c r="I201" s="2" t="str">
        <f t="shared" si="3"/>
        <v/>
      </c>
      <c r="J201" s="3"/>
      <c r="K201" s="5" t="str">
        <f>IFERROR(Tabla3413[[#This Row],[USD]]/$B$1,"")</f>
        <v/>
      </c>
    </row>
    <row r="202" spans="4:11" ht="15.75" x14ac:dyDescent="0.25">
      <c r="D202" s="2">
        <v>201</v>
      </c>
      <c r="E202" s="6"/>
      <c r="F202" s="2"/>
      <c r="G202" s="2"/>
      <c r="H202" s="2"/>
      <c r="I202" s="2" t="str">
        <f t="shared" si="3"/>
        <v/>
      </c>
      <c r="J202" s="3"/>
      <c r="K202" s="5" t="str">
        <f>IFERROR(Tabla3413[[#This Row],[USD]]/$B$1,"")</f>
        <v/>
      </c>
    </row>
    <row r="203" spans="4:11" ht="15.75" x14ac:dyDescent="0.25">
      <c r="D203" s="2">
        <v>202</v>
      </c>
      <c r="E203" s="6"/>
      <c r="F203" s="2"/>
      <c r="G203" s="2"/>
      <c r="H203" s="2"/>
      <c r="I203" s="2" t="str">
        <f t="shared" si="3"/>
        <v/>
      </c>
      <c r="J203" s="3"/>
      <c r="K203" s="5" t="str">
        <f>IFERROR(Tabla3413[[#This Row],[USD]]/$B$1,"")</f>
        <v/>
      </c>
    </row>
    <row r="204" spans="4:11" ht="15.75" x14ac:dyDescent="0.25">
      <c r="D204" s="2">
        <v>203</v>
      </c>
      <c r="E204" s="6"/>
      <c r="F204" s="2"/>
      <c r="G204" s="2"/>
      <c r="H204" s="2"/>
      <c r="I204" s="2" t="str">
        <f t="shared" si="3"/>
        <v/>
      </c>
      <c r="J204" s="3"/>
      <c r="K204" s="5" t="str">
        <f>IFERROR(Tabla3413[[#This Row],[USD]]/$B$1,"")</f>
        <v/>
      </c>
    </row>
    <row r="205" spans="4:11" ht="15.75" x14ac:dyDescent="0.25">
      <c r="D205" s="2">
        <v>204</v>
      </c>
      <c r="E205" s="6"/>
      <c r="F205" s="2"/>
      <c r="G205" s="2"/>
      <c r="H205" s="2"/>
      <c r="I205" s="2" t="str">
        <f t="shared" si="3"/>
        <v/>
      </c>
      <c r="J205" s="3"/>
      <c r="K205" s="5" t="str">
        <f>IFERROR(Tabla3413[[#This Row],[USD]]/$B$1,"")</f>
        <v/>
      </c>
    </row>
    <row r="206" spans="4:11" ht="15.75" x14ac:dyDescent="0.25">
      <c r="D206" s="2">
        <v>205</v>
      </c>
      <c r="E206" s="6"/>
      <c r="F206" s="2"/>
      <c r="G206" s="2"/>
      <c r="H206" s="2"/>
      <c r="I206" s="2" t="str">
        <f t="shared" si="3"/>
        <v/>
      </c>
      <c r="J206" s="3"/>
      <c r="K206" s="5" t="str">
        <f>IFERROR(Tabla3413[[#This Row],[USD]]/$B$1,"")</f>
        <v/>
      </c>
    </row>
    <row r="207" spans="4:11" ht="15.75" x14ac:dyDescent="0.25">
      <c r="D207" s="2">
        <v>206</v>
      </c>
      <c r="E207" s="6"/>
      <c r="F207" s="2"/>
      <c r="G207" s="2"/>
      <c r="H207" s="2"/>
      <c r="I207" s="2" t="str">
        <f t="shared" si="3"/>
        <v/>
      </c>
      <c r="J207" s="3"/>
      <c r="K207" s="5" t="str">
        <f>IFERROR(Tabla3413[[#This Row],[USD]]/$B$1,"")</f>
        <v/>
      </c>
    </row>
    <row r="208" spans="4:11" ht="15.75" x14ac:dyDescent="0.25">
      <c r="D208" s="2">
        <v>207</v>
      </c>
      <c r="E208" s="6"/>
      <c r="F208" s="2"/>
      <c r="G208" s="2"/>
      <c r="H208" s="2"/>
      <c r="I208" s="2" t="str">
        <f t="shared" si="3"/>
        <v/>
      </c>
      <c r="J208" s="3"/>
      <c r="K208" s="5" t="str">
        <f>IFERROR(Tabla3413[[#This Row],[USD]]/$B$1,"")</f>
        <v/>
      </c>
    </row>
    <row r="209" spans="4:11" ht="15.75" x14ac:dyDescent="0.25">
      <c r="D209" s="2">
        <v>208</v>
      </c>
      <c r="E209" s="6"/>
      <c r="F209" s="2"/>
      <c r="G209" s="2"/>
      <c r="H209" s="2"/>
      <c r="I209" s="2" t="str">
        <f t="shared" si="3"/>
        <v/>
      </c>
      <c r="J209" s="3"/>
      <c r="K209" s="5" t="str">
        <f>IFERROR(Tabla3413[[#This Row],[USD]]/$B$1,"")</f>
        <v/>
      </c>
    </row>
    <row r="210" spans="4:11" ht="15.75" x14ac:dyDescent="0.25">
      <c r="D210" s="2">
        <v>209</v>
      </c>
      <c r="E210" s="6"/>
      <c r="F210" s="2"/>
      <c r="G210" s="2"/>
      <c r="H210" s="2"/>
      <c r="I210" s="2" t="str">
        <f t="shared" si="3"/>
        <v/>
      </c>
      <c r="J210" s="3"/>
      <c r="K210" s="5" t="str">
        <f>IFERROR(Tabla3413[[#This Row],[USD]]/$B$1,"")</f>
        <v/>
      </c>
    </row>
    <row r="211" spans="4:11" ht="15.75" x14ac:dyDescent="0.25">
      <c r="D211" s="2">
        <v>210</v>
      </c>
      <c r="E211" s="6"/>
      <c r="F211" s="2"/>
      <c r="G211" s="2"/>
      <c r="H211" s="2"/>
      <c r="I211" s="2" t="str">
        <f t="shared" si="3"/>
        <v/>
      </c>
      <c r="J211" s="3"/>
      <c r="K211" s="5" t="str">
        <f>IFERROR(Tabla3413[[#This Row],[USD]]/$B$1,"")</f>
        <v/>
      </c>
    </row>
    <row r="212" spans="4:11" ht="15.75" x14ac:dyDescent="0.25">
      <c r="D212" s="2">
        <v>211</v>
      </c>
      <c r="E212" s="6"/>
      <c r="F212" s="2"/>
      <c r="G212" s="2"/>
      <c r="H212" s="2"/>
      <c r="I212" s="2" t="str">
        <f t="shared" si="3"/>
        <v/>
      </c>
      <c r="J212" s="3"/>
      <c r="K212" s="5" t="str">
        <f>IFERROR(Tabla3413[[#This Row],[USD]]/$B$1,"")</f>
        <v/>
      </c>
    </row>
    <row r="213" spans="4:11" ht="15.75" x14ac:dyDescent="0.25">
      <c r="D213" s="2">
        <v>212</v>
      </c>
      <c r="E213" s="6"/>
      <c r="F213" s="2"/>
      <c r="G213" s="2"/>
      <c r="H213" s="2"/>
      <c r="I213" s="2" t="str">
        <f t="shared" si="3"/>
        <v/>
      </c>
      <c r="J213" s="3"/>
      <c r="K213" s="5" t="str">
        <f>IFERROR(Tabla3413[[#This Row],[USD]]/$B$1,"")</f>
        <v/>
      </c>
    </row>
    <row r="214" spans="4:11" ht="15.75" x14ac:dyDescent="0.25">
      <c r="D214" s="2">
        <v>213</v>
      </c>
      <c r="E214" s="6"/>
      <c r="F214" s="2"/>
      <c r="G214" s="2"/>
      <c r="H214" s="2"/>
      <c r="I214" s="2" t="str">
        <f t="shared" si="3"/>
        <v/>
      </c>
      <c r="J214" s="3"/>
      <c r="K214" s="5" t="str">
        <f>IFERROR(Tabla3413[[#This Row],[USD]]/$B$1,"")</f>
        <v/>
      </c>
    </row>
    <row r="215" spans="4:11" ht="15.75" x14ac:dyDescent="0.25">
      <c r="D215" s="2">
        <v>214</v>
      </c>
      <c r="E215" s="6"/>
      <c r="F215" s="2"/>
      <c r="G215" s="2"/>
      <c r="H215" s="2"/>
      <c r="I215" s="2" t="str">
        <f t="shared" si="3"/>
        <v/>
      </c>
      <c r="J215" s="3"/>
      <c r="K215" s="5" t="str">
        <f>IFERROR(Tabla3413[[#This Row],[USD]]/$B$1,"")</f>
        <v/>
      </c>
    </row>
    <row r="216" spans="4:11" ht="15.75" x14ac:dyDescent="0.25">
      <c r="D216" s="2">
        <v>215</v>
      </c>
      <c r="E216" s="6"/>
      <c r="F216" s="2"/>
      <c r="G216" s="2"/>
      <c r="H216" s="2"/>
      <c r="I216" s="2" t="str">
        <f t="shared" si="3"/>
        <v/>
      </c>
      <c r="J216" s="3"/>
      <c r="K216" s="5" t="str">
        <f>IFERROR(Tabla3413[[#This Row],[USD]]/$B$1,"")</f>
        <v/>
      </c>
    </row>
    <row r="217" spans="4:11" ht="15.75" x14ac:dyDescent="0.25">
      <c r="D217" s="2">
        <v>216</v>
      </c>
      <c r="E217" s="6"/>
      <c r="F217" s="2"/>
      <c r="G217" s="2"/>
      <c r="H217" s="2"/>
      <c r="I217" s="2" t="str">
        <f t="shared" si="3"/>
        <v/>
      </c>
      <c r="J217" s="3"/>
      <c r="K217" s="5" t="str">
        <f>IFERROR(Tabla3413[[#This Row],[USD]]/$B$1,"")</f>
        <v/>
      </c>
    </row>
    <row r="218" spans="4:11" ht="15.75" x14ac:dyDescent="0.25">
      <c r="D218" s="2">
        <v>217</v>
      </c>
      <c r="E218" s="6"/>
      <c r="F218" s="2"/>
      <c r="G218" s="2"/>
      <c r="H218" s="2"/>
      <c r="I218" s="2" t="str">
        <f t="shared" si="3"/>
        <v/>
      </c>
      <c r="J218" s="3"/>
      <c r="K218" s="5" t="str">
        <f>IFERROR(Tabla3413[[#This Row],[USD]]/$B$1,"")</f>
        <v/>
      </c>
    </row>
    <row r="219" spans="4:11" ht="15.75" x14ac:dyDescent="0.25">
      <c r="D219" s="2">
        <v>218</v>
      </c>
      <c r="E219" s="6"/>
      <c r="F219" s="2"/>
      <c r="G219" s="2"/>
      <c r="H219" s="2"/>
      <c r="I219" s="2" t="str">
        <f t="shared" si="3"/>
        <v/>
      </c>
      <c r="J219" s="3"/>
      <c r="K219" s="5" t="str">
        <f>IFERROR(Tabla3413[[#This Row],[USD]]/$B$1,"")</f>
        <v/>
      </c>
    </row>
    <row r="220" spans="4:11" ht="15.75" x14ac:dyDescent="0.25">
      <c r="D220" s="2">
        <v>219</v>
      </c>
      <c r="E220" s="6"/>
      <c r="F220" s="2"/>
      <c r="G220" s="2"/>
      <c r="H220" s="2"/>
      <c r="I220" s="2" t="str">
        <f t="shared" si="3"/>
        <v/>
      </c>
      <c r="J220" s="3"/>
      <c r="K220" s="5" t="str">
        <f>IFERROR(Tabla3413[[#This Row],[USD]]/$B$1,"")</f>
        <v/>
      </c>
    </row>
    <row r="221" spans="4:11" ht="15.75" x14ac:dyDescent="0.25">
      <c r="D221" s="2">
        <v>220</v>
      </c>
      <c r="E221" s="6"/>
      <c r="F221" s="2"/>
      <c r="G221" s="2"/>
      <c r="H221" s="2"/>
      <c r="I221" s="2" t="str">
        <f t="shared" si="3"/>
        <v/>
      </c>
      <c r="J221" s="3"/>
      <c r="K221" s="5" t="str">
        <f>IFERROR(Tabla3413[[#This Row],[USD]]/$B$1,"")</f>
        <v/>
      </c>
    </row>
    <row r="222" spans="4:11" ht="15.75" x14ac:dyDescent="0.25">
      <c r="D222" s="2">
        <v>221</v>
      </c>
      <c r="E222" s="6"/>
      <c r="F222" s="2"/>
      <c r="G222" s="2"/>
      <c r="H222" s="2"/>
      <c r="I222" s="2" t="str">
        <f t="shared" si="3"/>
        <v/>
      </c>
      <c r="J222" s="3"/>
      <c r="K222" s="5" t="str">
        <f>IFERROR(Tabla3413[[#This Row],[USD]]/$B$1,"")</f>
        <v/>
      </c>
    </row>
    <row r="223" spans="4:11" ht="15.75" x14ac:dyDescent="0.25">
      <c r="D223" s="2">
        <v>222</v>
      </c>
      <c r="E223" s="6"/>
      <c r="F223" s="2"/>
      <c r="G223" s="2"/>
      <c r="H223" s="2"/>
      <c r="I223" s="2" t="str">
        <f t="shared" si="3"/>
        <v/>
      </c>
      <c r="J223" s="3"/>
      <c r="K223" s="5" t="str">
        <f>IFERROR(Tabla3413[[#This Row],[USD]]/$B$1,"")</f>
        <v/>
      </c>
    </row>
    <row r="224" spans="4:11" ht="15.75" x14ac:dyDescent="0.25">
      <c r="D224" s="2">
        <v>223</v>
      </c>
      <c r="E224" s="6"/>
      <c r="F224" s="2"/>
      <c r="G224" s="2"/>
      <c r="H224" s="2"/>
      <c r="I224" s="2" t="str">
        <f t="shared" si="3"/>
        <v/>
      </c>
      <c r="J224" s="3"/>
      <c r="K224" s="5" t="str">
        <f>IFERROR(Tabla3413[[#This Row],[USD]]/$B$1,"")</f>
        <v/>
      </c>
    </row>
    <row r="225" spans="4:11" ht="15.75" x14ac:dyDescent="0.25">
      <c r="D225" s="2">
        <v>224</v>
      </c>
      <c r="E225" s="6"/>
      <c r="F225" s="2"/>
      <c r="G225" s="2"/>
      <c r="H225" s="2"/>
      <c r="I225" s="2" t="str">
        <f t="shared" si="3"/>
        <v/>
      </c>
      <c r="J225" s="3"/>
      <c r="K225" s="5" t="str">
        <f>IFERROR(Tabla3413[[#This Row],[USD]]/$B$1,"")</f>
        <v/>
      </c>
    </row>
    <row r="226" spans="4:11" ht="15.75" x14ac:dyDescent="0.25">
      <c r="D226" s="2">
        <v>225</v>
      </c>
      <c r="E226" s="6"/>
      <c r="F226" s="2"/>
      <c r="G226" s="2"/>
      <c r="H226" s="2"/>
      <c r="I226" s="2" t="str">
        <f t="shared" si="3"/>
        <v/>
      </c>
      <c r="J226" s="3"/>
      <c r="K226" s="5" t="str">
        <f>IFERROR(Tabla3413[[#This Row],[USD]]/$B$1,"")</f>
        <v/>
      </c>
    </row>
    <row r="227" spans="4:11" ht="15.75" x14ac:dyDescent="0.25">
      <c r="D227" s="2">
        <v>226</v>
      </c>
      <c r="E227" s="6"/>
      <c r="F227" s="2"/>
      <c r="G227" s="2"/>
      <c r="H227" s="2"/>
      <c r="I227" s="2" t="str">
        <f t="shared" si="3"/>
        <v/>
      </c>
      <c r="J227" s="3"/>
      <c r="K227" s="5" t="str">
        <f>IFERROR(Tabla3413[[#This Row],[USD]]/$B$1,"")</f>
        <v/>
      </c>
    </row>
    <row r="228" spans="4:11" ht="15.75" x14ac:dyDescent="0.25">
      <c r="D228" s="2">
        <v>227</v>
      </c>
      <c r="E228" s="6"/>
      <c r="F228" s="2"/>
      <c r="G228" s="2"/>
      <c r="H228" s="2"/>
      <c r="I228" s="2" t="str">
        <f t="shared" si="3"/>
        <v/>
      </c>
      <c r="J228" s="3"/>
      <c r="K228" s="5" t="str">
        <f>IFERROR(Tabla3413[[#This Row],[USD]]/$B$1,"")</f>
        <v/>
      </c>
    </row>
    <row r="229" spans="4:11" ht="15.75" x14ac:dyDescent="0.25">
      <c r="D229" s="2">
        <v>228</v>
      </c>
      <c r="E229" s="6"/>
      <c r="F229" s="2"/>
      <c r="G229" s="2"/>
      <c r="H229" s="2"/>
      <c r="I229" s="2" t="str">
        <f t="shared" si="3"/>
        <v/>
      </c>
      <c r="J229" s="3"/>
      <c r="K229" s="5" t="str">
        <f>IFERROR(Tabla3413[[#This Row],[USD]]/$B$1,"")</f>
        <v/>
      </c>
    </row>
    <row r="230" spans="4:11" ht="15.75" x14ac:dyDescent="0.25">
      <c r="D230" s="2">
        <v>229</v>
      </c>
      <c r="E230" s="6"/>
      <c r="F230" s="2"/>
      <c r="G230" s="2"/>
      <c r="H230" s="2"/>
      <c r="I230" s="2" t="str">
        <f t="shared" si="3"/>
        <v/>
      </c>
      <c r="J230" s="3"/>
      <c r="K230" s="5" t="str">
        <f>IFERROR(Tabla3413[[#This Row],[USD]]/$B$1,"")</f>
        <v/>
      </c>
    </row>
    <row r="231" spans="4:11" ht="15.75" x14ac:dyDescent="0.25">
      <c r="D231" s="2">
        <v>230</v>
      </c>
      <c r="E231" s="6"/>
      <c r="F231" s="2"/>
      <c r="G231" s="2"/>
      <c r="H231" s="2"/>
      <c r="I231" s="2" t="str">
        <f t="shared" si="3"/>
        <v/>
      </c>
      <c r="J231" s="3"/>
      <c r="K231" s="5" t="str">
        <f>IFERROR(Tabla3413[[#This Row],[USD]]/$B$1,"")</f>
        <v/>
      </c>
    </row>
    <row r="232" spans="4:11" ht="15.75" x14ac:dyDescent="0.25">
      <c r="D232" s="2">
        <v>231</v>
      </c>
      <c r="E232" s="6"/>
      <c r="F232" s="2"/>
      <c r="G232" s="2"/>
      <c r="H232" s="2"/>
      <c r="I232" s="2" t="str">
        <f t="shared" si="3"/>
        <v/>
      </c>
      <c r="J232" s="3"/>
      <c r="K232" s="5" t="str">
        <f>IFERROR(Tabla3413[[#This Row],[USD]]/$B$1,"")</f>
        <v/>
      </c>
    </row>
    <row r="233" spans="4:11" ht="15.75" x14ac:dyDescent="0.25">
      <c r="D233" s="2">
        <v>232</v>
      </c>
      <c r="E233" s="6"/>
      <c r="F233" s="2"/>
      <c r="G233" s="2"/>
      <c r="H233" s="2"/>
      <c r="I233" s="2" t="str">
        <f t="shared" si="3"/>
        <v/>
      </c>
      <c r="J233" s="3"/>
      <c r="K233" s="5" t="str">
        <f>IFERROR(Tabla3413[[#This Row],[USD]]/$B$1,"")</f>
        <v/>
      </c>
    </row>
    <row r="234" spans="4:11" ht="15.75" x14ac:dyDescent="0.25">
      <c r="D234" s="2">
        <v>233</v>
      </c>
      <c r="E234" s="6"/>
      <c r="F234" s="2"/>
      <c r="G234" s="2"/>
      <c r="H234" s="2"/>
      <c r="I234" s="2" t="str">
        <f t="shared" si="3"/>
        <v/>
      </c>
      <c r="J234" s="3"/>
      <c r="K234" s="5" t="str">
        <f>IFERROR(Tabla3413[[#This Row],[USD]]/$B$1,"")</f>
        <v/>
      </c>
    </row>
    <row r="235" spans="4:11" ht="15.75" x14ac:dyDescent="0.25">
      <c r="D235" s="2">
        <v>234</v>
      </c>
      <c r="E235" s="6"/>
      <c r="F235" s="2"/>
      <c r="G235" s="2"/>
      <c r="H235" s="2"/>
      <c r="I235" s="2" t="str">
        <f t="shared" si="3"/>
        <v/>
      </c>
      <c r="J235" s="3"/>
      <c r="K235" s="5" t="str">
        <f>IFERROR(Tabla3413[[#This Row],[USD]]/$B$1,"")</f>
        <v/>
      </c>
    </row>
    <row r="236" spans="4:11" ht="15.75" x14ac:dyDescent="0.25">
      <c r="D236" s="2">
        <v>235</v>
      </c>
      <c r="E236" s="6"/>
      <c r="F236" s="2"/>
      <c r="G236" s="2"/>
      <c r="H236" s="2"/>
      <c r="I236" s="2" t="str">
        <f t="shared" si="3"/>
        <v/>
      </c>
      <c r="J236" s="3"/>
      <c r="K236" s="5" t="str">
        <f>IFERROR(Tabla3413[[#This Row],[USD]]/$B$1,"")</f>
        <v/>
      </c>
    </row>
    <row r="237" spans="4:11" ht="15.75" x14ac:dyDescent="0.25">
      <c r="D237" s="2">
        <v>236</v>
      </c>
      <c r="E237" s="6"/>
      <c r="F237" s="2"/>
      <c r="G237" s="2"/>
      <c r="H237" s="2"/>
      <c r="I237" s="2" t="str">
        <f t="shared" si="3"/>
        <v/>
      </c>
      <c r="J237" s="3"/>
      <c r="K237" s="5" t="str">
        <f>IFERROR(Tabla3413[[#This Row],[USD]]/$B$1,"")</f>
        <v/>
      </c>
    </row>
    <row r="238" spans="4:11" ht="15.75" x14ac:dyDescent="0.25">
      <c r="D238" s="2">
        <v>237</v>
      </c>
      <c r="E238" s="6"/>
      <c r="F238" s="2"/>
      <c r="G238" s="2"/>
      <c r="H238" s="2"/>
      <c r="I238" s="2" t="str">
        <f t="shared" si="3"/>
        <v/>
      </c>
      <c r="J238" s="3"/>
      <c r="K238" s="5" t="str">
        <f>IFERROR(Tabla3413[[#This Row],[USD]]/$B$1,"")</f>
        <v/>
      </c>
    </row>
    <row r="239" spans="4:11" ht="15.75" x14ac:dyDescent="0.25">
      <c r="D239" s="2">
        <v>238</v>
      </c>
      <c r="E239" s="6"/>
      <c r="F239" s="2"/>
      <c r="G239" s="2"/>
      <c r="H239" s="2"/>
      <c r="I239" s="2" t="str">
        <f t="shared" si="3"/>
        <v/>
      </c>
      <c r="J239" s="3"/>
      <c r="K239" s="5" t="str">
        <f>IFERROR(Tabla3413[[#This Row],[USD]]/$B$1,"")</f>
        <v/>
      </c>
    </row>
    <row r="240" spans="4:11" ht="15.75" x14ac:dyDescent="0.25">
      <c r="D240" s="2">
        <v>239</v>
      </c>
      <c r="E240" s="6"/>
      <c r="F240" s="2"/>
      <c r="G240" s="2"/>
      <c r="H240" s="2"/>
      <c r="I240" s="2" t="str">
        <f t="shared" si="3"/>
        <v/>
      </c>
      <c r="J240" s="3"/>
      <c r="K240" s="5" t="str">
        <f>IFERROR(Tabla3413[[#This Row],[USD]]/$B$1,"")</f>
        <v/>
      </c>
    </row>
    <row r="241" spans="4:11" ht="15.75" x14ac:dyDescent="0.25">
      <c r="D241" s="2">
        <v>240</v>
      </c>
      <c r="E241" s="6"/>
      <c r="F241" s="2"/>
      <c r="G241" s="2"/>
      <c r="H241" s="2"/>
      <c r="I241" s="2" t="str">
        <f t="shared" si="3"/>
        <v/>
      </c>
      <c r="J241" s="3"/>
      <c r="K241" s="5" t="str">
        <f>IFERROR(Tabla3413[[#This Row],[USD]]/$B$1,"")</f>
        <v/>
      </c>
    </row>
    <row r="242" spans="4:11" ht="15.75" x14ac:dyDescent="0.25">
      <c r="D242" s="2">
        <v>241</v>
      </c>
      <c r="E242" s="6"/>
      <c r="F242" s="2"/>
      <c r="G242" s="2"/>
      <c r="H242" s="2"/>
      <c r="I242" s="2" t="str">
        <f t="shared" si="3"/>
        <v/>
      </c>
      <c r="J242" s="3"/>
      <c r="K242" s="5" t="str">
        <f>IFERROR(Tabla3413[[#This Row],[USD]]/$B$1,"")</f>
        <v/>
      </c>
    </row>
    <row r="243" spans="4:11" ht="15.75" x14ac:dyDescent="0.25">
      <c r="D243" s="2">
        <v>242</v>
      </c>
      <c r="E243" s="6"/>
      <c r="F243" s="2"/>
      <c r="G243" s="2"/>
      <c r="H243" s="2"/>
      <c r="I243" s="2" t="str">
        <f t="shared" si="3"/>
        <v/>
      </c>
      <c r="J243" s="3"/>
      <c r="K243" s="5" t="str">
        <f>IFERROR(Tabla3413[[#This Row],[USD]]/$B$1,"")</f>
        <v/>
      </c>
    </row>
    <row r="244" spans="4:11" ht="15.75" x14ac:dyDescent="0.25">
      <c r="D244" s="2">
        <v>243</v>
      </c>
      <c r="E244" s="6"/>
      <c r="F244" s="2"/>
      <c r="G244" s="2"/>
      <c r="H244" s="2"/>
      <c r="I244" s="2" t="str">
        <f t="shared" si="3"/>
        <v/>
      </c>
      <c r="J244" s="3"/>
      <c r="K244" s="5" t="str">
        <f>IFERROR(Tabla3413[[#This Row],[USD]]/$B$1,"")</f>
        <v/>
      </c>
    </row>
    <row r="245" spans="4:11" ht="15.75" x14ac:dyDescent="0.25">
      <c r="D245" s="2">
        <v>244</v>
      </c>
      <c r="E245" s="6"/>
      <c r="F245" s="2"/>
      <c r="G245" s="2"/>
      <c r="H245" s="2"/>
      <c r="I245" s="2" t="str">
        <f t="shared" si="3"/>
        <v/>
      </c>
      <c r="J245" s="3"/>
      <c r="K245" s="5" t="str">
        <f>IFERROR(Tabla3413[[#This Row],[USD]]/$B$1,"")</f>
        <v/>
      </c>
    </row>
    <row r="246" spans="4:11" ht="15.75" x14ac:dyDescent="0.25">
      <c r="D246" s="2">
        <v>245</v>
      </c>
      <c r="E246" s="6"/>
      <c r="F246" s="2"/>
      <c r="G246" s="2"/>
      <c r="H246" s="2"/>
      <c r="I246" s="2" t="str">
        <f t="shared" si="3"/>
        <v/>
      </c>
      <c r="J246" s="3"/>
      <c r="K246" s="5" t="str">
        <f>IFERROR(Tabla3413[[#This Row],[USD]]/$B$1,"")</f>
        <v/>
      </c>
    </row>
    <row r="247" spans="4:11" ht="15.75" x14ac:dyDescent="0.25">
      <c r="D247" s="2">
        <v>246</v>
      </c>
      <c r="E247" s="6"/>
      <c r="F247" s="2"/>
      <c r="G247" s="2"/>
      <c r="H247" s="2"/>
      <c r="I247" s="2" t="str">
        <f t="shared" si="3"/>
        <v/>
      </c>
      <c r="J247" s="3"/>
      <c r="K247" s="5" t="str">
        <f>IFERROR(Tabla3413[[#This Row],[USD]]/$B$1,"")</f>
        <v/>
      </c>
    </row>
    <row r="248" spans="4:11" ht="15.75" x14ac:dyDescent="0.25">
      <c r="D248" s="2">
        <v>247</v>
      </c>
      <c r="E248" s="6"/>
      <c r="F248" s="2"/>
      <c r="G248" s="2"/>
      <c r="H248" s="2"/>
      <c r="I248" s="2" t="str">
        <f t="shared" si="3"/>
        <v/>
      </c>
      <c r="J248" s="3"/>
      <c r="K248" s="5" t="str">
        <f>IFERROR(Tabla3413[[#This Row],[USD]]/$B$1,"")</f>
        <v/>
      </c>
    </row>
    <row r="249" spans="4:11" ht="15.75" x14ac:dyDescent="0.25">
      <c r="D249" s="2">
        <v>248</v>
      </c>
      <c r="E249" s="6"/>
      <c r="F249" s="2"/>
      <c r="G249" s="2"/>
      <c r="H249" s="2"/>
      <c r="I249" s="2" t="str">
        <f t="shared" si="3"/>
        <v/>
      </c>
      <c r="J249" s="3"/>
      <c r="K249" s="5" t="str">
        <f>IFERROR(Tabla3413[[#This Row],[USD]]/$B$1,"")</f>
        <v/>
      </c>
    </row>
    <row r="250" spans="4:11" ht="15.75" x14ac:dyDescent="0.25">
      <c r="D250" s="2">
        <v>249</v>
      </c>
      <c r="E250" s="6"/>
      <c r="F250" s="2"/>
      <c r="G250" s="2"/>
      <c r="H250" s="2"/>
      <c r="I250" s="2" t="str">
        <f t="shared" si="3"/>
        <v/>
      </c>
      <c r="J250" s="3"/>
      <c r="K250" s="5" t="str">
        <f>IFERROR(Tabla3413[[#This Row],[USD]]/$B$1,"")</f>
        <v/>
      </c>
    </row>
    <row r="251" spans="4:11" ht="15.75" x14ac:dyDescent="0.25">
      <c r="D251" s="2">
        <v>250</v>
      </c>
      <c r="E251" s="6"/>
      <c r="F251" s="2"/>
      <c r="G251" s="2"/>
      <c r="H251" s="2"/>
      <c r="I251" s="2" t="str">
        <f t="shared" si="3"/>
        <v/>
      </c>
      <c r="J251" s="3"/>
      <c r="K251" s="5" t="str">
        <f>IFERROR(Tabla3413[[#This Row],[USD]]/$B$1,"")</f>
        <v/>
      </c>
    </row>
    <row r="252" spans="4:11" ht="15.75" x14ac:dyDescent="0.25">
      <c r="D252" s="2">
        <v>251</v>
      </c>
      <c r="E252" s="6"/>
      <c r="F252" s="2"/>
      <c r="G252" s="2"/>
      <c r="H252" s="2"/>
      <c r="I252" s="2" t="str">
        <f t="shared" si="3"/>
        <v/>
      </c>
      <c r="J252" s="3"/>
      <c r="K252" s="5" t="str">
        <f>IFERROR(Tabla3413[[#This Row],[USD]]/$B$1,"")</f>
        <v/>
      </c>
    </row>
    <row r="253" spans="4:11" ht="15.75" x14ac:dyDescent="0.25">
      <c r="D253" s="2">
        <v>252</v>
      </c>
      <c r="E253" s="6"/>
      <c r="F253" s="2"/>
      <c r="G253" s="2"/>
      <c r="H253" s="2"/>
      <c r="I253" s="2" t="str">
        <f t="shared" si="3"/>
        <v/>
      </c>
      <c r="J253" s="3"/>
      <c r="K253" s="5" t="str">
        <f>IFERROR(Tabla3413[[#This Row],[USD]]/$B$1,"")</f>
        <v/>
      </c>
    </row>
    <row r="254" spans="4:11" ht="15.75" x14ac:dyDescent="0.25">
      <c r="D254" s="2">
        <v>253</v>
      </c>
      <c r="E254" s="6"/>
      <c r="F254" s="2"/>
      <c r="G254" s="2"/>
      <c r="H254" s="2"/>
      <c r="I254" s="2" t="str">
        <f t="shared" si="3"/>
        <v/>
      </c>
      <c r="J254" s="3"/>
      <c r="K254" s="5" t="str">
        <f>IFERROR(Tabla3413[[#This Row],[USD]]/$B$1,"")</f>
        <v/>
      </c>
    </row>
    <row r="255" spans="4:11" ht="15.75" x14ac:dyDescent="0.25">
      <c r="D255" s="2">
        <v>254</v>
      </c>
      <c r="E255" s="6"/>
      <c r="F255" s="2"/>
      <c r="G255" s="2"/>
      <c r="H255" s="2"/>
      <c r="I255" s="2" t="str">
        <f t="shared" si="3"/>
        <v/>
      </c>
      <c r="J255" s="3"/>
      <c r="K255" s="5" t="str">
        <f>IFERROR(Tabla3413[[#This Row],[USD]]/$B$1,"")</f>
        <v/>
      </c>
    </row>
    <row r="256" spans="4:11" ht="15.75" x14ac:dyDescent="0.25">
      <c r="D256" s="2">
        <v>255</v>
      </c>
      <c r="E256" s="6"/>
      <c r="F256" s="2"/>
      <c r="G256" s="2"/>
      <c r="H256" s="2"/>
      <c r="I256" s="2" t="str">
        <f t="shared" si="3"/>
        <v/>
      </c>
      <c r="J256" s="3"/>
      <c r="K256" s="5" t="str">
        <f>IFERROR(Tabla3413[[#This Row],[USD]]/$B$1,"")</f>
        <v/>
      </c>
    </row>
    <row r="257" spans="4:11" ht="15.75" x14ac:dyDescent="0.25">
      <c r="D257" s="2">
        <v>256</v>
      </c>
      <c r="E257" s="6"/>
      <c r="F257" s="2"/>
      <c r="G257" s="2"/>
      <c r="H257" s="2"/>
      <c r="I257" s="2" t="str">
        <f t="shared" si="3"/>
        <v/>
      </c>
      <c r="J257" s="3"/>
      <c r="K257" s="5" t="str">
        <f>IFERROR(Tabla3413[[#This Row],[USD]]/$B$1,"")</f>
        <v/>
      </c>
    </row>
    <row r="258" spans="4:11" ht="15.75" x14ac:dyDescent="0.25">
      <c r="D258" s="2">
        <v>257</v>
      </c>
      <c r="E258" s="6"/>
      <c r="F258" s="2"/>
      <c r="G258" s="2"/>
      <c r="H258" s="2"/>
      <c r="I258" s="2" t="str">
        <f t="shared" si="3"/>
        <v/>
      </c>
      <c r="J258" s="3"/>
      <c r="K258" s="5" t="str">
        <f>IFERROR(Tabla3413[[#This Row],[USD]]/$B$1,"")</f>
        <v/>
      </c>
    </row>
    <row r="259" spans="4:11" ht="15.75" x14ac:dyDescent="0.25">
      <c r="D259" s="2">
        <v>258</v>
      </c>
      <c r="E259" s="6"/>
      <c r="F259" s="2"/>
      <c r="G259" s="2"/>
      <c r="H259" s="2"/>
      <c r="I259" s="2" t="str">
        <f t="shared" ref="I259:I301" si="4">IF(J259="","",IF(J259&gt;3,"Ganado",IF(J259&lt;-3,"Perdido","Break Even")))</f>
        <v/>
      </c>
      <c r="J259" s="3"/>
      <c r="K259" s="5" t="str">
        <f>IFERROR(Tabla3413[[#This Row],[USD]]/$B$1,"")</f>
        <v/>
      </c>
    </row>
    <row r="260" spans="4:11" ht="15.75" x14ac:dyDescent="0.25">
      <c r="D260" s="2">
        <v>259</v>
      </c>
      <c r="E260" s="6"/>
      <c r="F260" s="2"/>
      <c r="G260" s="2"/>
      <c r="H260" s="2"/>
      <c r="I260" s="2" t="str">
        <f t="shared" si="4"/>
        <v/>
      </c>
      <c r="J260" s="3"/>
      <c r="K260" s="5" t="str">
        <f>IFERROR(Tabla3413[[#This Row],[USD]]/$B$1,"")</f>
        <v/>
      </c>
    </row>
    <row r="261" spans="4:11" ht="15.75" x14ac:dyDescent="0.25">
      <c r="D261" s="2">
        <v>260</v>
      </c>
      <c r="E261" s="6"/>
      <c r="F261" s="2"/>
      <c r="G261" s="2"/>
      <c r="H261" s="2"/>
      <c r="I261" s="2" t="str">
        <f t="shared" si="4"/>
        <v/>
      </c>
      <c r="J261" s="3"/>
      <c r="K261" s="5" t="str">
        <f>IFERROR(Tabla3413[[#This Row],[USD]]/$B$1,"")</f>
        <v/>
      </c>
    </row>
    <row r="262" spans="4:11" ht="15.75" x14ac:dyDescent="0.25">
      <c r="D262" s="2">
        <v>261</v>
      </c>
      <c r="E262" s="6"/>
      <c r="F262" s="2"/>
      <c r="G262" s="2"/>
      <c r="H262" s="2"/>
      <c r="I262" s="2" t="str">
        <f t="shared" si="4"/>
        <v/>
      </c>
      <c r="J262" s="3"/>
      <c r="K262" s="5" t="str">
        <f>IFERROR(Tabla3413[[#This Row],[USD]]/$B$1,"")</f>
        <v/>
      </c>
    </row>
    <row r="263" spans="4:11" ht="15.75" x14ac:dyDescent="0.25">
      <c r="D263" s="2">
        <v>262</v>
      </c>
      <c r="E263" s="6"/>
      <c r="F263" s="2"/>
      <c r="G263" s="2"/>
      <c r="H263" s="2"/>
      <c r="I263" s="2" t="str">
        <f t="shared" si="4"/>
        <v/>
      </c>
      <c r="J263" s="3"/>
      <c r="K263" s="5" t="str">
        <f>IFERROR(Tabla3413[[#This Row],[USD]]/$B$1,"")</f>
        <v/>
      </c>
    </row>
    <row r="264" spans="4:11" ht="15.75" x14ac:dyDescent="0.25">
      <c r="D264" s="2">
        <v>263</v>
      </c>
      <c r="E264" s="6"/>
      <c r="F264" s="2"/>
      <c r="G264" s="2"/>
      <c r="H264" s="2"/>
      <c r="I264" s="2" t="str">
        <f t="shared" si="4"/>
        <v/>
      </c>
      <c r="J264" s="3"/>
      <c r="K264" s="5" t="str">
        <f>IFERROR(Tabla3413[[#This Row],[USD]]/$B$1,"")</f>
        <v/>
      </c>
    </row>
    <row r="265" spans="4:11" ht="15.75" x14ac:dyDescent="0.25">
      <c r="D265" s="2">
        <v>264</v>
      </c>
      <c r="E265" s="6"/>
      <c r="F265" s="2"/>
      <c r="G265" s="2"/>
      <c r="H265" s="2"/>
      <c r="I265" s="2" t="str">
        <f t="shared" si="4"/>
        <v/>
      </c>
      <c r="J265" s="3"/>
      <c r="K265" s="5" t="str">
        <f>IFERROR(Tabla3413[[#This Row],[USD]]/$B$1,"")</f>
        <v/>
      </c>
    </row>
    <row r="266" spans="4:11" ht="15.75" x14ac:dyDescent="0.25">
      <c r="D266" s="2">
        <v>265</v>
      </c>
      <c r="E266" s="6"/>
      <c r="F266" s="2"/>
      <c r="G266" s="2"/>
      <c r="H266" s="2"/>
      <c r="I266" s="2" t="str">
        <f t="shared" si="4"/>
        <v/>
      </c>
      <c r="J266" s="3"/>
      <c r="K266" s="5" t="str">
        <f>IFERROR(Tabla3413[[#This Row],[USD]]/$B$1,"")</f>
        <v/>
      </c>
    </row>
    <row r="267" spans="4:11" ht="15.75" x14ac:dyDescent="0.25">
      <c r="D267" s="2">
        <v>266</v>
      </c>
      <c r="E267" s="6"/>
      <c r="F267" s="2"/>
      <c r="G267" s="2"/>
      <c r="H267" s="2"/>
      <c r="I267" s="2" t="str">
        <f t="shared" si="4"/>
        <v/>
      </c>
      <c r="J267" s="3"/>
      <c r="K267" s="5" t="str">
        <f>IFERROR(Tabla3413[[#This Row],[USD]]/$B$1,"")</f>
        <v/>
      </c>
    </row>
    <row r="268" spans="4:11" ht="15.75" x14ac:dyDescent="0.25">
      <c r="D268" s="2">
        <v>267</v>
      </c>
      <c r="E268" s="6"/>
      <c r="F268" s="2"/>
      <c r="G268" s="2"/>
      <c r="H268" s="2"/>
      <c r="I268" s="2" t="str">
        <f t="shared" si="4"/>
        <v/>
      </c>
      <c r="J268" s="3"/>
      <c r="K268" s="5" t="str">
        <f>IFERROR(Tabla3413[[#This Row],[USD]]/$B$1,"")</f>
        <v/>
      </c>
    </row>
    <row r="269" spans="4:11" ht="15.75" x14ac:dyDescent="0.25">
      <c r="D269" s="2">
        <v>268</v>
      </c>
      <c r="E269" s="6"/>
      <c r="F269" s="2"/>
      <c r="G269" s="2"/>
      <c r="H269" s="2"/>
      <c r="I269" s="2" t="str">
        <f t="shared" si="4"/>
        <v/>
      </c>
      <c r="J269" s="3"/>
      <c r="K269" s="5" t="str">
        <f>IFERROR(Tabla3413[[#This Row],[USD]]/$B$1,"")</f>
        <v/>
      </c>
    </row>
    <row r="270" spans="4:11" ht="15.75" x14ac:dyDescent="0.25">
      <c r="D270" s="2">
        <v>269</v>
      </c>
      <c r="E270" s="6"/>
      <c r="F270" s="2"/>
      <c r="G270" s="2"/>
      <c r="H270" s="2"/>
      <c r="I270" s="2" t="str">
        <f t="shared" si="4"/>
        <v/>
      </c>
      <c r="J270" s="3"/>
      <c r="K270" s="5" t="str">
        <f>IFERROR(Tabla3413[[#This Row],[USD]]/$B$1,"")</f>
        <v/>
      </c>
    </row>
    <row r="271" spans="4:11" ht="15.75" x14ac:dyDescent="0.25">
      <c r="D271" s="2">
        <v>270</v>
      </c>
      <c r="E271" s="6"/>
      <c r="F271" s="2"/>
      <c r="G271" s="2"/>
      <c r="H271" s="2"/>
      <c r="I271" s="2" t="str">
        <f t="shared" si="4"/>
        <v/>
      </c>
      <c r="J271" s="3"/>
      <c r="K271" s="5" t="str">
        <f>IFERROR(Tabla3413[[#This Row],[USD]]/$B$1,"")</f>
        <v/>
      </c>
    </row>
    <row r="272" spans="4:11" ht="15.75" x14ac:dyDescent="0.25">
      <c r="D272" s="2">
        <v>271</v>
      </c>
      <c r="E272" s="6"/>
      <c r="F272" s="2"/>
      <c r="G272" s="2"/>
      <c r="H272" s="2"/>
      <c r="I272" s="2" t="str">
        <f t="shared" si="4"/>
        <v/>
      </c>
      <c r="J272" s="3"/>
      <c r="K272" s="5" t="str">
        <f>IFERROR(Tabla3413[[#This Row],[USD]]/$B$1,"")</f>
        <v/>
      </c>
    </row>
    <row r="273" spans="4:11" ht="15.75" x14ac:dyDescent="0.25">
      <c r="D273" s="2">
        <v>272</v>
      </c>
      <c r="E273" s="6"/>
      <c r="F273" s="2"/>
      <c r="G273" s="2"/>
      <c r="H273" s="2"/>
      <c r="I273" s="2" t="str">
        <f t="shared" si="4"/>
        <v/>
      </c>
      <c r="J273" s="3"/>
      <c r="K273" s="5" t="str">
        <f>IFERROR(Tabla3413[[#This Row],[USD]]/$B$1,"")</f>
        <v/>
      </c>
    </row>
    <row r="274" spans="4:11" ht="15.75" x14ac:dyDescent="0.25">
      <c r="D274" s="2">
        <v>273</v>
      </c>
      <c r="E274" s="6"/>
      <c r="F274" s="2"/>
      <c r="G274" s="2"/>
      <c r="H274" s="2"/>
      <c r="I274" s="2" t="str">
        <f t="shared" si="4"/>
        <v/>
      </c>
      <c r="J274" s="3"/>
      <c r="K274" s="5" t="str">
        <f>IFERROR(Tabla3413[[#This Row],[USD]]/$B$1,"")</f>
        <v/>
      </c>
    </row>
    <row r="275" spans="4:11" ht="15.75" x14ac:dyDescent="0.25">
      <c r="D275" s="2">
        <v>274</v>
      </c>
      <c r="E275" s="6"/>
      <c r="F275" s="2"/>
      <c r="G275" s="2"/>
      <c r="H275" s="2"/>
      <c r="I275" s="2" t="str">
        <f t="shared" si="4"/>
        <v/>
      </c>
      <c r="J275" s="3"/>
      <c r="K275" s="5" t="str">
        <f>IFERROR(Tabla3413[[#This Row],[USD]]/$B$1,"")</f>
        <v/>
      </c>
    </row>
    <row r="276" spans="4:11" ht="15.75" x14ac:dyDescent="0.25">
      <c r="D276" s="2">
        <v>275</v>
      </c>
      <c r="E276" s="6"/>
      <c r="F276" s="2"/>
      <c r="G276" s="2"/>
      <c r="H276" s="2"/>
      <c r="I276" s="2" t="str">
        <f t="shared" si="4"/>
        <v/>
      </c>
      <c r="J276" s="3"/>
      <c r="K276" s="5" t="str">
        <f>IFERROR(Tabla3413[[#This Row],[USD]]/$B$1,"")</f>
        <v/>
      </c>
    </row>
    <row r="277" spans="4:11" ht="15.75" x14ac:dyDescent="0.25">
      <c r="D277" s="2">
        <v>276</v>
      </c>
      <c r="E277" s="6"/>
      <c r="F277" s="2"/>
      <c r="G277" s="2"/>
      <c r="H277" s="2"/>
      <c r="I277" s="2" t="str">
        <f t="shared" si="4"/>
        <v/>
      </c>
      <c r="J277" s="3"/>
      <c r="K277" s="5" t="str">
        <f>IFERROR(Tabla3413[[#This Row],[USD]]/$B$1,"")</f>
        <v/>
      </c>
    </row>
    <row r="278" spans="4:11" ht="15.75" x14ac:dyDescent="0.25">
      <c r="D278" s="2">
        <v>277</v>
      </c>
      <c r="E278" s="6"/>
      <c r="F278" s="2"/>
      <c r="G278" s="2"/>
      <c r="H278" s="2"/>
      <c r="I278" s="2" t="str">
        <f t="shared" si="4"/>
        <v/>
      </c>
      <c r="J278" s="3"/>
      <c r="K278" s="5" t="str">
        <f>IFERROR(Tabla3413[[#This Row],[USD]]/$B$1,"")</f>
        <v/>
      </c>
    </row>
    <row r="279" spans="4:11" ht="15.75" x14ac:dyDescent="0.25">
      <c r="D279" s="2">
        <v>278</v>
      </c>
      <c r="E279" s="6"/>
      <c r="F279" s="2"/>
      <c r="G279" s="2"/>
      <c r="H279" s="2"/>
      <c r="I279" s="2" t="str">
        <f t="shared" si="4"/>
        <v/>
      </c>
      <c r="J279" s="3"/>
      <c r="K279" s="5" t="str">
        <f>IFERROR(Tabla3413[[#This Row],[USD]]/$B$1,"")</f>
        <v/>
      </c>
    </row>
    <row r="280" spans="4:11" ht="15.75" x14ac:dyDescent="0.25">
      <c r="D280" s="2">
        <v>279</v>
      </c>
      <c r="E280" s="6"/>
      <c r="F280" s="2"/>
      <c r="G280" s="2"/>
      <c r="H280" s="2"/>
      <c r="I280" s="2" t="str">
        <f t="shared" si="4"/>
        <v/>
      </c>
      <c r="J280" s="3"/>
      <c r="K280" s="5" t="str">
        <f>IFERROR(Tabla3413[[#This Row],[USD]]/$B$1,"")</f>
        <v/>
      </c>
    </row>
    <row r="281" spans="4:11" ht="15.75" x14ac:dyDescent="0.25">
      <c r="D281" s="2">
        <v>280</v>
      </c>
      <c r="E281" s="6"/>
      <c r="F281" s="2"/>
      <c r="G281" s="2"/>
      <c r="H281" s="2"/>
      <c r="I281" s="2" t="str">
        <f t="shared" si="4"/>
        <v/>
      </c>
      <c r="J281" s="3"/>
      <c r="K281" s="5" t="str">
        <f>IFERROR(Tabla3413[[#This Row],[USD]]/$B$1,"")</f>
        <v/>
      </c>
    </row>
    <row r="282" spans="4:11" ht="15.75" x14ac:dyDescent="0.25">
      <c r="D282" s="2">
        <v>281</v>
      </c>
      <c r="E282" s="6"/>
      <c r="F282" s="2"/>
      <c r="G282" s="2"/>
      <c r="H282" s="2"/>
      <c r="I282" s="2" t="str">
        <f t="shared" si="4"/>
        <v/>
      </c>
      <c r="J282" s="3"/>
      <c r="K282" s="5" t="str">
        <f>IFERROR(Tabla3413[[#This Row],[USD]]/$B$1,"")</f>
        <v/>
      </c>
    </row>
    <row r="283" spans="4:11" ht="15.75" x14ac:dyDescent="0.25">
      <c r="D283" s="2">
        <v>282</v>
      </c>
      <c r="E283" s="6"/>
      <c r="F283" s="2"/>
      <c r="G283" s="2"/>
      <c r="H283" s="2"/>
      <c r="I283" s="2" t="str">
        <f t="shared" si="4"/>
        <v/>
      </c>
      <c r="J283" s="3"/>
      <c r="K283" s="5" t="str">
        <f>IFERROR(Tabla3413[[#This Row],[USD]]/$B$1,"")</f>
        <v/>
      </c>
    </row>
    <row r="284" spans="4:11" ht="15.75" x14ac:dyDescent="0.25">
      <c r="D284" s="2">
        <v>283</v>
      </c>
      <c r="E284" s="6"/>
      <c r="F284" s="2"/>
      <c r="G284" s="2"/>
      <c r="H284" s="2"/>
      <c r="I284" s="2" t="str">
        <f t="shared" si="4"/>
        <v/>
      </c>
      <c r="J284" s="3"/>
      <c r="K284" s="5" t="str">
        <f>IFERROR(Tabla3413[[#This Row],[USD]]/$B$1,"")</f>
        <v/>
      </c>
    </row>
    <row r="285" spans="4:11" ht="15.75" x14ac:dyDescent="0.25">
      <c r="D285" s="2">
        <v>284</v>
      </c>
      <c r="E285" s="6"/>
      <c r="F285" s="2"/>
      <c r="G285" s="2"/>
      <c r="H285" s="2"/>
      <c r="I285" s="2" t="str">
        <f t="shared" si="4"/>
        <v/>
      </c>
      <c r="J285" s="3"/>
      <c r="K285" s="5" t="str">
        <f>IFERROR(Tabla3413[[#This Row],[USD]]/$B$1,"")</f>
        <v/>
      </c>
    </row>
    <row r="286" spans="4:11" ht="15.75" x14ac:dyDescent="0.25">
      <c r="D286" s="2">
        <v>285</v>
      </c>
      <c r="E286" s="6"/>
      <c r="F286" s="2"/>
      <c r="G286" s="2"/>
      <c r="H286" s="2"/>
      <c r="I286" s="2" t="str">
        <f t="shared" si="4"/>
        <v/>
      </c>
      <c r="J286" s="3"/>
      <c r="K286" s="5" t="str">
        <f>IFERROR(Tabla3413[[#This Row],[USD]]/$B$1,"")</f>
        <v/>
      </c>
    </row>
    <row r="287" spans="4:11" ht="15.75" x14ac:dyDescent="0.25">
      <c r="D287" s="2">
        <v>286</v>
      </c>
      <c r="E287" s="2"/>
      <c r="F287" s="2"/>
      <c r="G287" s="2"/>
      <c r="H287" s="2"/>
      <c r="I287" s="2" t="str">
        <f t="shared" si="4"/>
        <v/>
      </c>
      <c r="J287" s="3"/>
      <c r="K287" s="5" t="str">
        <f>IFERROR(Tabla3413[[#This Row],[USD]]/$B$1,"")</f>
        <v/>
      </c>
    </row>
    <row r="288" spans="4:11" ht="15.75" x14ac:dyDescent="0.25">
      <c r="D288" s="2">
        <v>287</v>
      </c>
      <c r="E288" s="2"/>
      <c r="F288" s="2"/>
      <c r="G288" s="2"/>
      <c r="H288" s="2"/>
      <c r="I288" s="2" t="str">
        <f t="shared" si="4"/>
        <v/>
      </c>
      <c r="J288" s="3"/>
      <c r="K288" s="5" t="str">
        <f>IFERROR(Tabla3413[[#This Row],[USD]]/$B$1,"")</f>
        <v/>
      </c>
    </row>
    <row r="289" spans="4:11" ht="15.75" x14ac:dyDescent="0.25">
      <c r="D289" s="2">
        <v>288</v>
      </c>
      <c r="E289" s="2"/>
      <c r="F289" s="2"/>
      <c r="G289" s="2"/>
      <c r="H289" s="2"/>
      <c r="I289" s="2" t="str">
        <f t="shared" si="4"/>
        <v/>
      </c>
      <c r="J289" s="3"/>
      <c r="K289" s="5" t="str">
        <f>IFERROR(Tabla3413[[#This Row],[USD]]/$B$1,"")</f>
        <v/>
      </c>
    </row>
    <row r="290" spans="4:11" ht="15.75" x14ac:dyDescent="0.25">
      <c r="D290" s="2">
        <v>289</v>
      </c>
      <c r="E290" s="2"/>
      <c r="F290" s="2"/>
      <c r="G290" s="2"/>
      <c r="H290" s="2"/>
      <c r="I290" s="2" t="str">
        <f t="shared" si="4"/>
        <v/>
      </c>
      <c r="J290" s="3"/>
      <c r="K290" s="5" t="str">
        <f>IFERROR(Tabla3413[[#This Row],[USD]]/$B$1,"")</f>
        <v/>
      </c>
    </row>
    <row r="291" spans="4:11" ht="15.75" x14ac:dyDescent="0.25">
      <c r="D291" s="2">
        <v>290</v>
      </c>
      <c r="E291" s="2"/>
      <c r="F291" s="2"/>
      <c r="G291" s="2"/>
      <c r="H291" s="2"/>
      <c r="I291" s="2" t="str">
        <f t="shared" si="4"/>
        <v/>
      </c>
      <c r="J291" s="3"/>
      <c r="K291" s="5" t="str">
        <f>IFERROR(Tabla3413[[#This Row],[USD]]/$B$1,"")</f>
        <v/>
      </c>
    </row>
    <row r="292" spans="4:11" ht="15.75" x14ac:dyDescent="0.25">
      <c r="D292" s="2">
        <v>291</v>
      </c>
      <c r="E292" s="2"/>
      <c r="F292" s="2"/>
      <c r="G292" s="2"/>
      <c r="H292" s="2"/>
      <c r="I292" s="2" t="str">
        <f t="shared" si="4"/>
        <v/>
      </c>
      <c r="J292" s="3"/>
      <c r="K292" s="5" t="str">
        <f>IFERROR(Tabla3413[[#This Row],[USD]]/$B$1,"")</f>
        <v/>
      </c>
    </row>
    <row r="293" spans="4:11" ht="15.75" x14ac:dyDescent="0.25">
      <c r="D293" s="2">
        <v>292</v>
      </c>
      <c r="E293" s="2"/>
      <c r="F293" s="2"/>
      <c r="G293" s="2"/>
      <c r="H293" s="2"/>
      <c r="I293" s="2" t="str">
        <f t="shared" si="4"/>
        <v/>
      </c>
      <c r="J293" s="3"/>
      <c r="K293" s="5" t="str">
        <f>IFERROR(Tabla3413[[#This Row],[USD]]/$B$1,"")</f>
        <v/>
      </c>
    </row>
    <row r="294" spans="4:11" ht="15.75" x14ac:dyDescent="0.25">
      <c r="D294" s="2">
        <v>293</v>
      </c>
      <c r="E294" s="2"/>
      <c r="F294" s="2"/>
      <c r="G294" s="2"/>
      <c r="H294" s="2"/>
      <c r="I294" s="2" t="str">
        <f t="shared" si="4"/>
        <v/>
      </c>
      <c r="J294" s="3"/>
      <c r="K294" s="5" t="str">
        <f>IFERROR(Tabla3413[[#This Row],[USD]]/$B$1,"")</f>
        <v/>
      </c>
    </row>
    <row r="295" spans="4:11" ht="15.75" x14ac:dyDescent="0.25">
      <c r="D295" s="2">
        <v>294</v>
      </c>
      <c r="E295" s="2"/>
      <c r="F295" s="2"/>
      <c r="G295" s="2"/>
      <c r="H295" s="2"/>
      <c r="I295" s="2" t="str">
        <f t="shared" si="4"/>
        <v/>
      </c>
      <c r="J295" s="3"/>
      <c r="K295" s="5" t="str">
        <f>IFERROR(Tabla3413[[#This Row],[USD]]/$B$1,"")</f>
        <v/>
      </c>
    </row>
    <row r="296" spans="4:11" ht="15.75" x14ac:dyDescent="0.25">
      <c r="D296" s="2">
        <v>295</v>
      </c>
      <c r="E296" s="2"/>
      <c r="F296" s="2"/>
      <c r="G296" s="2"/>
      <c r="H296" s="2"/>
      <c r="I296" s="2" t="str">
        <f t="shared" si="4"/>
        <v/>
      </c>
      <c r="J296" s="3"/>
      <c r="K296" s="5" t="str">
        <f>IFERROR(Tabla3413[[#This Row],[USD]]/$B$1,"")</f>
        <v/>
      </c>
    </row>
    <row r="297" spans="4:11" ht="15.75" x14ac:dyDescent="0.25">
      <c r="D297" s="2">
        <v>296</v>
      </c>
      <c r="E297" s="2"/>
      <c r="F297" s="2"/>
      <c r="G297" s="2"/>
      <c r="H297" s="2"/>
      <c r="I297" s="2" t="str">
        <f t="shared" si="4"/>
        <v/>
      </c>
      <c r="J297" s="3"/>
      <c r="K297" s="5" t="str">
        <f>IFERROR(Tabla3413[[#This Row],[USD]]/$B$1,"")</f>
        <v/>
      </c>
    </row>
    <row r="298" spans="4:11" ht="15.75" x14ac:dyDescent="0.25">
      <c r="D298" s="2">
        <v>297</v>
      </c>
      <c r="E298" s="2"/>
      <c r="F298" s="2"/>
      <c r="G298" s="2"/>
      <c r="H298" s="2"/>
      <c r="I298" s="2" t="str">
        <f t="shared" si="4"/>
        <v/>
      </c>
      <c r="J298" s="3"/>
      <c r="K298" s="5" t="str">
        <f>IFERROR(Tabla3413[[#This Row],[USD]]/$B$1,"")</f>
        <v/>
      </c>
    </row>
    <row r="299" spans="4:11" ht="15.75" x14ac:dyDescent="0.25">
      <c r="D299" s="2">
        <v>298</v>
      </c>
      <c r="E299" s="2"/>
      <c r="F299" s="2"/>
      <c r="G299" s="2"/>
      <c r="H299" s="2"/>
      <c r="I299" s="2" t="str">
        <f t="shared" si="4"/>
        <v/>
      </c>
      <c r="J299" s="3"/>
      <c r="K299" s="5" t="str">
        <f>IFERROR(Tabla3413[[#This Row],[USD]]/$B$1,"")</f>
        <v/>
      </c>
    </row>
    <row r="300" spans="4:11" ht="15.75" x14ac:dyDescent="0.25">
      <c r="D300" s="2">
        <v>299</v>
      </c>
      <c r="E300" s="2"/>
      <c r="F300" s="2"/>
      <c r="G300" s="2"/>
      <c r="H300" s="2"/>
      <c r="I300" s="2" t="str">
        <f t="shared" si="4"/>
        <v/>
      </c>
      <c r="J300" s="3"/>
      <c r="K300" s="5" t="str">
        <f>IFERROR(Tabla3413[[#This Row],[USD]]/$B$1,"")</f>
        <v/>
      </c>
    </row>
    <row r="301" spans="4:11" ht="15.75" x14ac:dyDescent="0.25">
      <c r="D301" s="2">
        <v>300</v>
      </c>
      <c r="E301" s="2"/>
      <c r="F301" s="2"/>
      <c r="G301" s="2"/>
      <c r="H301" s="2"/>
      <c r="I301" s="2" t="str">
        <f t="shared" si="4"/>
        <v/>
      </c>
      <c r="J301" s="3"/>
      <c r="K301" s="5" t="str">
        <f>IFERROR(Tabla3413[[#This Row],[USD]]/$B$1,"")</f>
        <v/>
      </c>
    </row>
    <row r="397" spans="18:34" ht="18.75" customHeight="1" x14ac:dyDescent="0.25">
      <c r="R397" s="86" t="s">
        <v>26</v>
      </c>
      <c r="S397" s="86"/>
      <c r="T397" s="86"/>
      <c r="U397" s="86"/>
      <c r="V397" s="86"/>
      <c r="X397" s="83" t="s">
        <v>28</v>
      </c>
      <c r="Y397" s="83"/>
      <c r="Z397" s="83"/>
      <c r="AA397" s="83"/>
      <c r="AB397" s="83"/>
      <c r="AD397" s="84" t="s">
        <v>27</v>
      </c>
      <c r="AE397" s="84"/>
      <c r="AF397" s="84"/>
      <c r="AG397" s="84"/>
      <c r="AH397" s="84"/>
    </row>
    <row r="398" spans="18:34" ht="15.75" customHeight="1" x14ac:dyDescent="0.25">
      <c r="R398" s="86"/>
      <c r="S398" s="86"/>
      <c r="T398" s="86"/>
      <c r="U398" s="86"/>
      <c r="V398" s="86"/>
      <c r="X398" s="83"/>
      <c r="Y398" s="83"/>
      <c r="Z398" s="83"/>
      <c r="AA398" s="83"/>
      <c r="AB398" s="83"/>
      <c r="AD398" s="84"/>
      <c r="AE398" s="84"/>
      <c r="AF398" s="84"/>
      <c r="AG398" s="84"/>
      <c r="AH398" s="84"/>
    </row>
    <row r="401" spans="18:34" ht="15.75" x14ac:dyDescent="0.25">
      <c r="R401" s="27" t="str">
        <f>IFERROR((COUNTIFS(I401:I1398,"100x",J401:J1398,"Ida",L401:L1398,"Ganado")+(COUNTIFS(I401:I1398,"100x",J401:J1398,"Ida",L401:L1398,"Break Even")))/(COUNTIFS(I401:I1398,"100x",J401:J1398,"Ida")),"Sin Datos")</f>
        <v>Sin Datos</v>
      </c>
      <c r="S401" s="27" t="str">
        <f>IFERROR((COUNTIFS(I401:I1398,"100x",J401:J1398,"Vuelta",L401:L1398,"Ganado")+(COUNTIFS(I401:I1398,"100x",J401:J1398,"Vuelta",L401:L1398,"Break Even")))/(COUNTIFS(I401:I1398,"100x",J401:J1398,"Vuelta")),"Sin Datos")</f>
        <v>Sin Datos</v>
      </c>
      <c r="T401" s="27" t="str">
        <f>IFERROR((COUNTIFS(I401:I1398,"100x",K401:K1398,"Long",L401:L1398,"Ganado")+(COUNTIFS(I401:I1398,"100x",K401:K1398,"Long",L401:L1398,"Break Even")))/(COUNTIFS(I401:I1398,"100x",K401:K1398,"Long")),"Sin Datos")</f>
        <v>Sin Datos</v>
      </c>
      <c r="U401" s="27" t="str">
        <f>IFERROR((COUNTIFS(I401:I1398,"100x",K401:K1398,"Short",L401:L1398,"Ganado")+(COUNTIFS(I401:I1398,"100x",K401:K1398,"Short",L401:L1398,"Break Even")))/(COUNTIFS(I401:I1398,"100x",K401:K1398,"Short")),"Sin Datos")</f>
        <v>Sin Datos</v>
      </c>
      <c r="V401" s="4" t="str">
        <f>IFERROR((COUNTIFS(I401:I1398,"100x",L401:L1398,"Ganado")+(COUNTIFS(I401:I1398,"100x",L401:L1398,"Break Even")))/(Q401),"Sin Datos")</f>
        <v>Sin Datos</v>
      </c>
      <c r="X401" s="27" t="str">
        <f>IFERROR((COUNTIFS(O401:O1398,"100x",P401:P1398,"Ida",R401:R1398,"Ganado"))/(COUNTIFS(O401:O1398,"100x",P401:P1398,"Ida")-(COUNTIFS(O401:O1398,"100x",P401:P1398,"Ida",R401:R1398,"Break Even"))),"Sin Datos")</f>
        <v>Sin Datos</v>
      </c>
      <c r="Y401" s="27" t="str">
        <f>IFERROR((COUNTIFS(O401:O1398,"100x",P401:P1398,"Vuelta",R401:R1398,"Ganado"))/(COUNTIFS(O401:O1398,"100x",P401:P1398,"Vuelta")-(COUNTIFS(O401:O1398,"100x",P401:P1398,"Vuelta",R401:R1398,"Break Even"))),"Sin Datos")</f>
        <v>Sin Datos</v>
      </c>
      <c r="Z401" s="27" t="str">
        <f>IFERROR((COUNTIFS(O401:O1398,"100x",Q401:Q1398,"Long",R401:R1398,"Ganado"))/(COUNTIFS(O401:O1398,"100x",Q401:Q1398,"Long")-(COUNTIFS(O401:O1398,"100x",Q401:Q1398,"Long",R401:R1398,"Break Even"))),"Sin Datos")</f>
        <v>Sin Datos</v>
      </c>
      <c r="AA401" s="27" t="str">
        <f>IFERROR((COUNTIFS(O401:O1398,"100x",Q401:Q1398,"Short",R401:R1398,"Ganado"))/(COUNTIFS(O401:O1398,"100x",Q401:Q1398,"Short")-(COUNTIFS(O401:O1398,"100x",Q401:Q1398,"Short",R401:R1398,"Break Even"))),"Sin Datos")</f>
        <v>Sin Datos</v>
      </c>
      <c r="AB401" s="4" t="str">
        <f>IFERROR((COUNTIFS(O401:O1398,"100x",R401:R1398,"Ganado"))/((W401)-(COUNTIFS(O401:O1398,"100x",R401:R1398,"Break Even"))),"Sin Datos")</f>
        <v>Sin Datos</v>
      </c>
      <c r="AD401" s="27" t="str">
        <f>IFERROR((COUNTIFS(U401:U1398,"100x",V401:V1398,"Ida",X401:X1398,"Ganado"))/(COUNTIFS(U401:U1398,"100x",V401:V1398,"Ida")),"Sin Datos")</f>
        <v>Sin Datos</v>
      </c>
      <c r="AE401" s="27" t="str">
        <f>IFERROR((COUNTIFS(U401:U1398,"100x",V401:V1398,"Vuelta",X401:X1398,"Ganado"))/(COUNTIFS(U401:U1398,"100x",V401:V1398,"Vuelta")),"Sin Datos")</f>
        <v>Sin Datos</v>
      </c>
      <c r="AF401" s="27" t="str">
        <f>IFERROR((COUNTIFS(U401:U1398,"100x",W401:W1398,"Long",X401:X1398,"Ganado"))/(COUNTIFS(U401:U1398,"100x",W401:W1398,"Long")),"Sin Datos")</f>
        <v>Sin Datos</v>
      </c>
      <c r="AG401" s="27" t="str">
        <f>IFERROR((COUNTIFS(U401:U1398,"100x",W401:W1398,"Short",X401:X1398,"Ganado"))/(COUNTIFS(U401:U1398,"100x",W401:W1398,"Short")),"Sin Datos")</f>
        <v>Sin Datos</v>
      </c>
      <c r="AH401" s="4" t="str">
        <f>IFERROR((COUNTIFS(U401:U1398,"100x",X401:X1398,"Ganado"))/(AC401),"Sin Datos")</f>
        <v>Sin Datos</v>
      </c>
    </row>
    <row r="402" spans="18:34" ht="15.75" x14ac:dyDescent="0.25">
      <c r="R402" s="27" t="str">
        <f>IFERROR((COUNTIFS(I401:I1398,"50x",J401:J1398,"Ida",L401:L1398,"Ganado")+(COUNTIFS(I401:I1398,"50x",J401:J1398,"Ida",L401:L1398,"Break Even")))/(COUNTIFS(I401:I1398,"50x",J401:J1398,"Ida")),"Sin Datos")</f>
        <v>Sin Datos</v>
      </c>
      <c r="S402" s="27" t="str">
        <f>IFERROR((COUNTIFS(I401:I1398,"50x",J401:J1398,"Vuelta",L401:L1398,"Ganado")+(COUNTIFS(I401:I1398,"50x",J401:J1398,"Vuelta",L401:L1398,"Break Even")))/(COUNTIFS(I401:I1398,"50x",J401:J1398,"Vuelta")),"Sin Datos")</f>
        <v>Sin Datos</v>
      </c>
      <c r="T402" s="27" t="str">
        <f>IFERROR((COUNTIFS(I401:I1398,"50x",K401:K1398,"Long",L401:L1398,"Ganado")+(COUNTIFS(I401:I1398,"50x",K401:K1398,"Long",L401:L1398,"Break Even")))/(COUNTIFS(I401:I1398,"50x",K401:K1398,"Long")),"Sin Datos")</f>
        <v>Sin Datos</v>
      </c>
      <c r="U402" s="27" t="str">
        <f>IFERROR((COUNTIFS(I401:I1398,"50x",K401:K1398,"Short",L401:L1398,"Ganado")+(COUNTIFS(I401:I1398,"50x",K401:K1398,"Short",L401:L1398,"Break Even")))/(COUNTIFS(I401:I1398,"50x",K401:K1398,"Short")),"Sin Datos")</f>
        <v>Sin Datos</v>
      </c>
      <c r="V402" s="4" t="str">
        <f>IFERROR((COUNTIFS(I401:I1398,"50x",L401:L1398,"Ganado")+(COUNTIFS(I401:I1398,"50x",L401:L1398,"Break Even")))/(Q402),"Sin Datos")</f>
        <v>Sin Datos</v>
      </c>
      <c r="X402" s="27" t="str">
        <f>IFERROR((COUNTIFS(O401:O1398,"50x",P401:P1398,"Ida",R401:R1398,"Ganado"))/(COUNTIFS(O401:O1398,"50x",P401:P1398,"Ida")-(COUNTIFS(O401:O1398,"50x",P401:P1398,"Ida",R401:R1398,"Break Even"))),"Sin Datos")</f>
        <v>Sin Datos</v>
      </c>
      <c r="Y402" s="27" t="str">
        <f>IFERROR((COUNTIFS(O401:O1398,"50x",P401:P1398,"Vuelta",R401:R1398,"Ganado"))/(COUNTIFS(O401:O1398,"50x",P401:P1398,"Vuelta")-(COUNTIFS(O401:O1398,"50x",P401:P1398,"Vuelta",R401:R1398,"Break Even"))),"Sin Datos")</f>
        <v>Sin Datos</v>
      </c>
      <c r="Z402" s="27" t="str">
        <f>IFERROR((COUNTIFS(O401:O1398,"50x",Q401:Q1398,"Long",R401:R1398,"Ganado"))/(COUNTIFS(O401:O1398,"50x",Q401:Q1398,"Long")-(COUNTIFS(O401:O1398,"50x",Q401:Q1398,"Long",R401:R1398,"Break Even"))),"Sin Datos")</f>
        <v>Sin Datos</v>
      </c>
      <c r="AA402" s="27" t="str">
        <f>IFERROR((COUNTIFS(O401:O1398,"50x",Q401:Q1398,"Short",R401:R1398,"Ganado"))/(COUNTIFS(O401:O1398,"50x",Q401:Q1398,"Short")-(COUNTIFS(O401:O1398,"50x",Q401:Q1398,"Short",R401:R1398,"Break Even"))),"Sin Datos")</f>
        <v>Sin Datos</v>
      </c>
      <c r="AB402" s="4" t="str">
        <f>IFERROR((COUNTIFS(O401:O1398,"50x",R401:R1398,"Ganado"))/((W402)-(COUNTIFS(O401:O1398,"50x",R401:R1398,"Break Even"))),"Sin Datos")</f>
        <v>Sin Datos</v>
      </c>
      <c r="AD402" s="27" t="str">
        <f>IFERROR((COUNTIFS(U401:U1398,"50x",V401:V1398,"Ida",X401:X1398,"Ganado"))/(COUNTIFS(U401:U1398,"50x",V401:V1398,"Ida")),"Sin Datos")</f>
        <v>Sin Datos</v>
      </c>
      <c r="AE402" s="27" t="str">
        <f>IFERROR((COUNTIFS(U401:U1398,"50x",V401:V1398,"Vuelta",X401:X1398,"Ganado"))/(COUNTIFS(U401:U1398,"50x",V401:V1398,"Vuelta")),"Sin Datos")</f>
        <v>Sin Datos</v>
      </c>
      <c r="AF402" s="27" t="str">
        <f>IFERROR((COUNTIFS(U401:U1398,"50x",W401:W1398,"Long",X401:X1398,"Ganado"))/(COUNTIFS(U401:U1398,"50x",W401:W1398,"Long")),"Sin Datos")</f>
        <v>Sin Datos</v>
      </c>
      <c r="AG402" s="27" t="str">
        <f>IFERROR((COUNTIFS(U401:U1398,"50x",W401:W1398,"Short",X401:X1398,"Ganado"))/(COUNTIFS(U401:U1398,"50x",W401:W1398,"Short")),"Sin Datos")</f>
        <v>Sin Datos</v>
      </c>
      <c r="AH402" s="4" t="str">
        <f>IFERROR((COUNTIFS(U401:U1398,"50x",X401:X1398,"Ganado"))/(AC402),"Sin Datos")</f>
        <v>Sin Datos</v>
      </c>
    </row>
    <row r="403" spans="18:34" ht="15.75" x14ac:dyDescent="0.25">
      <c r="R403" s="27" t="str">
        <f>IFERROR((COUNTIFS(I401:I1398,"25x",J401:J1398,"Ida",L401:L1398,"Ganado")+(COUNTIFS(I401:I1398,"25x",J401:J1398,"Ida",L401:L1398,"Break Even")))/(COUNTIFS(I401:I1398,"25x",J401:J1398,"Ida")),"Sin Datos")</f>
        <v>Sin Datos</v>
      </c>
      <c r="S403" s="27" t="str">
        <f>IFERROR((COUNTIFS(I401:I1398,"25x",J401:J1398,"Vuelta",L401:L1398,"Ganado")+(COUNTIFS(I401:I1398,"25x",J401:J1398,"Vuelta",L401:L1398,"Break Even")))/(COUNTIFS(I401:I1398,"25x",J401:J1398,"Vuelta")),"Sin Datos")</f>
        <v>Sin Datos</v>
      </c>
      <c r="T403" s="27" t="str">
        <f>IFERROR((COUNTIFS(I401:I1398,"25x",K401:K1398,"Long",L401:L1398,"Ganado")+(COUNTIFS(I401:I1398,"25x",K401:K1398,"Long",L401:L1398,"Break Even")))/(COUNTIFS(I401:I1398,"25x",K401:K1398,"Long")),"Sin Datos")</f>
        <v>Sin Datos</v>
      </c>
      <c r="U403" s="27" t="str">
        <f>IFERROR((COUNTIFS(I401:I1398,"25x",K401:K1398,"Short",L401:L1398,"Ganado")+(COUNTIFS(I401:I1398,"25x",K401:K1398,"Short",L401:L1398,"Break Even")))/(COUNTIFS(I401:I1398,"25x",K401:K1398,"Short")),"Sin Datos")</f>
        <v>Sin Datos</v>
      </c>
      <c r="V403" s="4" t="str">
        <f>IFERROR((COUNTIFS(I401:I1398,"25x",L401:L1398,"Ganado")+(COUNTIFS(I401:I1398,"25x",L401:L1398,"Break Even")))/(Q403),"Sin Datos")</f>
        <v>Sin Datos</v>
      </c>
      <c r="X403" s="27" t="str">
        <f>IFERROR((COUNTIFS(O401:O1398,"25x",P401:P1398,"Ida",R401:R1398,"Ganado"))/(COUNTIFS(O401:O1398,"25x",P401:P1398,"Ida")-(COUNTIFS(O401:O1398,"25x",P401:P1398,"Ida",R401:R1398,"Break Even"))),"Sin Datos")</f>
        <v>Sin Datos</v>
      </c>
      <c r="Y403" s="27" t="str">
        <f>IFERROR((COUNTIFS(O401:O1398,"25x",P401:P1398,"Vuelta",R401:R1398,"Ganado"))/(COUNTIFS(O401:O1398,"25x",P401:P1398,"Vuelta")-(COUNTIFS(O401:O1398,"25x",P401:P1398,"Vuelta",R401:R1398,"Break Even"))),"Sin Datos")</f>
        <v>Sin Datos</v>
      </c>
      <c r="Z403" s="27" t="str">
        <f>IFERROR((COUNTIFS(O401:O1398,"25x",Q401:Q1398,"Long",R401:R1398,"Ganado"))/(COUNTIFS(O401:O1398,"25x",Q401:Q1398,"Long")-(COUNTIFS(O401:O1398,"25x",Q401:Q1398,"Long",R401:R1398,"Break Even"))),"Sin Datos")</f>
        <v>Sin Datos</v>
      </c>
      <c r="AA403" s="27" t="str">
        <f>IFERROR((COUNTIFS(O401:O1398,"25x",Q401:Q1398,"Short",R401:R1398,"Ganado"))/(COUNTIFS(O401:O1398,"25x",Q401:Q1398,"Short")-(COUNTIFS(O401:O1398,"25x",Q401:Q1398,"Short",R401:R1398,"Break Even"))),"Sin Datos")</f>
        <v>Sin Datos</v>
      </c>
      <c r="AB403" s="4" t="str">
        <f>IFERROR((COUNTIFS(O401:O1398,"25x",R401:R1398,"Ganado"))/((W403)-(COUNTIFS(O401:O1398,"25x",R401:R1398,"Break Even"))),"Sin Datos")</f>
        <v>Sin Datos</v>
      </c>
      <c r="AD403" s="27" t="str">
        <f>IFERROR((COUNTIFS(U401:U1398,"25x",V401:V1398,"Ida",X401:X1398,"Ganado"))/(COUNTIFS(U401:U1398,"25x",V401:V1398,"Ida")),"Sin Datos")</f>
        <v>Sin Datos</v>
      </c>
      <c r="AE403" s="27" t="str">
        <f>IFERROR((COUNTIFS(U401:U1398,"25x",V401:V1398,"Vuelta",X401:X1398,"Ganado"))/(COUNTIFS(U401:U1398,"25x",V401:V1398,"Vuelta")),"Sin Datos")</f>
        <v>Sin Datos</v>
      </c>
      <c r="AF403" s="27" t="str">
        <f>IFERROR((COUNTIFS(U401:U1398,"25x",W401:W1398,"Long",X401:X1398,"Ganado"))/(COUNTIFS(U401:U1398,"25x",W401:W1398,"Long")),"Sin Datos")</f>
        <v>Sin Datos</v>
      </c>
      <c r="AG403" s="27" t="str">
        <f>IFERROR((COUNTIFS(U401:U1398,"25x",W401:W1398,"Short",X401:X1398,"Ganado"))/(COUNTIFS(U401:U1398,"25x",W401:W1398,"Short")),"Sin Datos")</f>
        <v>Sin Datos</v>
      </c>
      <c r="AH403" s="4" t="str">
        <f>IFERROR((COUNTIFS(U401:U1398,"25x",X401:X1398,"Ganado"))/(AC403),"Sin Datos")</f>
        <v>Sin Datos</v>
      </c>
    </row>
    <row r="404" spans="18:34" ht="15.75" x14ac:dyDescent="0.25">
      <c r="R404" s="27" t="str">
        <f>IFERROR((COUNTIFS(I401:I1398,"10x",J401:J1398,"Ida",L401:L1398,"Ganado")+(COUNTIFS(I401:I1398,"10x",J401:J1398,"Ida",L401:L1398,"Break Even")))/(COUNTIFS(I401:I1398,"10x",J401:J1398,"Ida")),"Sin Datos")</f>
        <v>Sin Datos</v>
      </c>
      <c r="S404" s="27" t="str">
        <f>IFERROR((COUNTIFS(I401:I1398,"10x",J401:J1398,"Vuelta",L401:L1398,"Ganado")+(COUNTIFS(I401:I1398,"10x",J401:J1398,"Vuelta",L401:L1398,"Break Even")))/(COUNTIFS(I401:I1398,"10x",J401:J1398,"Vuelta")),"Sin Datos")</f>
        <v>Sin Datos</v>
      </c>
      <c r="T404" s="27" t="str">
        <f>IFERROR((COUNTIFS(I401:I1398,"10x",K401:K1398,"Long",L401:L1398,"Ganado")+(COUNTIFS(I401:I1398,"10x",K401:K1398,"Long",L401:L1398,"Break Even")))/(COUNTIFS(I401:I1398,"10x",K401:K1398,"Long")),"Sin Datos")</f>
        <v>Sin Datos</v>
      </c>
      <c r="U404" s="27" t="str">
        <f>IFERROR((COUNTIFS(I401:I1398,"10x",K401:K1398,"Short",L401:L1398,"Ganado")+(COUNTIFS(I401:I1398,"10x",K401:K1398,"Short",L401:L1398,"Break Even")))/(COUNTIFS(I401:I1398,"10x",K401:K1398,"Short")),"Sin Datos")</f>
        <v>Sin Datos</v>
      </c>
      <c r="V404" s="4" t="str">
        <f>IFERROR((COUNTIFS(I401:I1398,"10x",L401:L1398,"Ganado")+(COUNTIFS(I401:I1398,"10x",L401:L1398,"Break Even")))/(Q404),"Sin Datos")</f>
        <v>Sin Datos</v>
      </c>
      <c r="X404" s="27" t="str">
        <f>IFERROR((COUNTIFS(O401:O1398,"10x",P401:P1398,"Ida",R401:R1398,"Ganado"))/(COUNTIFS(O401:O1398,"10x",P401:P1398,"Ida")-(COUNTIFS(O401:O1398,"10x",P401:P1398,"Ida",R401:R1398,"Break Even"))),"Sin Datos")</f>
        <v>Sin Datos</v>
      </c>
      <c r="Y404" s="27" t="str">
        <f>IFERROR((COUNTIFS(O401:O1398,"10x",P401:P1398,"Vuelta",R401:R1398,"Ganado"))/(COUNTIFS(O401:O1398,"10x",P401:P1398,"Vuelta")-(COUNTIFS(O401:O1398,"10x",P401:P1398,"Vuelta",R401:R1398,"Break Even"))),"Sin Datos")</f>
        <v>Sin Datos</v>
      </c>
      <c r="Z404" s="27" t="str">
        <f>IFERROR((COUNTIFS(O401:O1398,"10x",Q401:Q1398,"Long",R401:R1398,"Ganado"))/(COUNTIFS(O401:O1398,"10x",Q401:Q1398,"Long")-(COUNTIFS(O401:O1398,"10x",Q401:Q1398,"Long",R401:R1398,"Break Even"))),"Sin Datos")</f>
        <v>Sin Datos</v>
      </c>
      <c r="AA404" s="27" t="str">
        <f>IFERROR((COUNTIFS(O401:O1398,"10x",Q401:Q1398,"Short",R401:R1398,"Ganado"))/(COUNTIFS(O401:O1398,"10x",Q401:Q1398,"Short")-(COUNTIFS(O401:O1398,"10x",Q401:Q1398,"Short",R401:R1398,"Break Even"))),"Sin Datos")</f>
        <v>Sin Datos</v>
      </c>
      <c r="AB404" s="4" t="str">
        <f>IFERROR((COUNTIFS(O401:O1398,"10x",R401:R1398,"Ganado"))/((W404)-(COUNTIFS(O401:O1398,"10x",R401:R1398,"Break Even"))),"Sin Datos")</f>
        <v>Sin Datos</v>
      </c>
      <c r="AD404" s="27" t="str">
        <f>IFERROR((COUNTIFS(U401:U1398,"10x",V401:V1398,"Ida",X401:X1398,"Ganado"))/(COUNTIFS(U401:U1398,"10x",V401:V1398,"Ida")),"Sin Datos")</f>
        <v>Sin Datos</v>
      </c>
      <c r="AE404" s="27" t="str">
        <f>IFERROR((COUNTIFS(U401:U1398,"10x",V401:V1398,"Vuelta",X401:X1398,"Ganado"))/(COUNTIFS(U401:U1398,"10x",V401:V1398,"Vuelta")),"Sin Datos")</f>
        <v>Sin Datos</v>
      </c>
      <c r="AF404" s="27" t="str">
        <f>IFERROR((COUNTIFS(U401:U1398,"10x",W401:W1398,"Long",X401:X1398,"Ganado"))/(COUNTIFS(U401:U1398,"10x",W401:W1398,"Long")),"Sin Datos")</f>
        <v>Sin Datos</v>
      </c>
      <c r="AG404" s="27" t="str">
        <f>IFERROR((COUNTIFS(U401:U1398,"10x",W401:W1398,"Short",X401:X1398,"Ganado"))/(COUNTIFS(U401:U1398,"10x",W401:W1398,"Short")),"Sin Datos")</f>
        <v>Sin Datos</v>
      </c>
      <c r="AH404" s="4" t="str">
        <f>IFERROR((COUNTIFS(U401:U1398,"10x",X401:X1398,"Ganado"))/(AC404),"Sin Datos")</f>
        <v>Sin Datos</v>
      </c>
    </row>
    <row r="405" spans="18:34" ht="15.75" x14ac:dyDescent="0.25">
      <c r="R405" s="27" t="str">
        <f>IFERROR((COUNTIFS(I401:I1398,"5x",J401:J1398,"Ida",L401:L1398,"Ganado")+(COUNTIFS(I401:I1398,"5x",J401:J1398,"Ida",L401:L1398,"Break Even")))/(COUNTIFS(I401:I1398,"5x",J401:J1398,"Ida")),"Sin Datos")</f>
        <v>Sin Datos</v>
      </c>
      <c r="S405" s="27" t="str">
        <f>IFERROR((COUNTIFS(I401:I1398,"5x",J401:J1398,"Vuelta",L401:L1398,"Ganado")+(COUNTIFS(I401:I1398,"5x",J401:J1398,"Vuelta",L401:L1398,"Break Even")))/(COUNTIFS(I401:I1398,"5x",J401:J1398,"Vuelta")),"Sin Datos")</f>
        <v>Sin Datos</v>
      </c>
      <c r="T405" s="27" t="str">
        <f>IFERROR((COUNTIFS(I401:I1398,"5x",K401:K1398,"Long",L401:L1398,"Ganado")+(COUNTIFS(I401:I1398,"5x",K401:K1398,"Long",L401:L1398,"Break Even")))/(COUNTIFS(I401:I1398,"5x",K401:K1398,"Long")),"Sin Datos")</f>
        <v>Sin Datos</v>
      </c>
      <c r="U405" s="27" t="str">
        <f>IFERROR((COUNTIFS(I401:I1398,"5x",K401:K1398,"Short",L401:L1398,"Ganado")+(COUNTIFS(I401:I1398,"5x",K401:K1398,"Short",L401:L1398,"Break Even")))/(COUNTIFS(I401:I1398,"5x",K401:K1398,"Short")),"Sin Datos")</f>
        <v>Sin Datos</v>
      </c>
      <c r="V405" s="4" t="str">
        <f>IFERROR((COUNTIFS(I401:I1398,"5x",L401:L1398,"Ganado")+(COUNTIFS(I401:I1398,"5x",L401:L1398,"Break Even")))/(Q405),"Sin Datos")</f>
        <v>Sin Datos</v>
      </c>
      <c r="X405" s="27" t="str">
        <f>IFERROR((COUNTIFS(O401:O1398,"5x",P401:P1398,"Ida",R401:R1398,"Ganado"))/(COUNTIFS(O401:O1398,"5x",P401:P1398,"Ida")-(COUNTIFS(O401:O1398,"5x",P401:P1398,"Ida",R401:R1398,"Break Even"))),"Sin Datos")</f>
        <v>Sin Datos</v>
      </c>
      <c r="Y405" s="27" t="str">
        <f>IFERROR((COUNTIFS(O401:O1398,"5x",P401:P1398,"Vuelta",R401:R1398,"Ganado"))/(COUNTIFS(O401:O1398,"5x",P401:P1398,"Vuelta")-(COUNTIFS(O401:O1398,"5x",P401:P1398,"Vuelta",R401:R1398,"Break Even"))),"Sin Datos")</f>
        <v>Sin Datos</v>
      </c>
      <c r="Z405" s="27" t="str">
        <f>IFERROR((COUNTIFS(O401:O1398,"5x",Q401:Q1398,"Long",R401:R1398,"Ganado"))/(COUNTIFS(O401:O1398,"5x",Q401:Q1398,"Long")-(COUNTIFS(O401:O1398,"5x",Q401:Q1398,"Long",R401:R1398,"Break Even"))),"Sin Datos")</f>
        <v>Sin Datos</v>
      </c>
      <c r="AA405" s="27" t="str">
        <f>IFERROR((COUNTIFS(O401:O1398,"5x",Q401:Q1398,"Short",R401:R1398,"Ganado"))/(COUNTIFS(O401:O1398,"5x",Q401:Q1398,"Short")-(COUNTIFS(O401:O1398,"5x",Q401:Q1398,"Short",R401:R1398,"Break Even"))),"Sin Datos")</f>
        <v>Sin Datos</v>
      </c>
      <c r="AB405" s="4" t="str">
        <f>IFERROR((COUNTIFS(O401:O1398,"5x",R401:R1398,"Ganado"))/((W405)-(COUNTIFS(O401:O1398,"5x",R401:R1398,"Break Even"))),"Sin Datos")</f>
        <v>Sin Datos</v>
      </c>
      <c r="AD405" s="27" t="str">
        <f>IFERROR((COUNTIFS(U401:U1398,"5x",V401:V1398,"Ida",X401:X1398,"Ganado"))/(COUNTIFS(U401:U1398,"5x",V401:V1398,"Ida")),"Sin Datos")</f>
        <v>Sin Datos</v>
      </c>
      <c r="AE405" s="27" t="str">
        <f>IFERROR((COUNTIFS(U401:U1398,"5x",V401:V1398,"Vuelta",X401:X1398,"Ganado"))/(COUNTIFS(U401:U1398,"5x",V401:V1398,"Vuelta")),"Sin Datos")</f>
        <v>Sin Datos</v>
      </c>
      <c r="AF405" s="27" t="str">
        <f>IFERROR((COUNTIFS(U401:U1398,"5x",W401:W1398,"Long",X401:X1398,"Ganado"))/(COUNTIFS(U401:U1398,"5x",W401:W1398,"Long")),"Sin Datos")</f>
        <v>Sin Datos</v>
      </c>
      <c r="AG405" s="27" t="str">
        <f>IFERROR((COUNTIFS(U401:U1398,"5x",W401:W1398,"Short",X401:X1398,"Ganado"))/(COUNTIFS(U401:U1398,"5x",W401:W1398,"Short")),"Sin Datos")</f>
        <v>Sin Datos</v>
      </c>
      <c r="AH405" s="4" t="str">
        <f>IFERROR((COUNTIFS(U401:U1398,"5x",X401:X1398,"Ganado"))/(AC405),"Sin Datos")</f>
        <v>Sin Datos</v>
      </c>
    </row>
    <row r="406" spans="18:34" ht="15.75" x14ac:dyDescent="0.25">
      <c r="R406" s="27" t="str">
        <f>IFERROR((COUNTIFS(I401:I1398,"BatiBot",J401:J1398,"Ida",L401:L1398,"Ganado")+(COUNTIFS(I401:I1398,"BatiBot",J401:J1398,"Ida",L401:L1398,"Break Even")))/(COUNTIFS(I401:I1398,"BatiBot",J401:J1398,"Ida")),"Sin Datos")</f>
        <v>Sin Datos</v>
      </c>
      <c r="S406" s="27" t="str">
        <f>IFERROR((COUNTIFS(I401:I1398,"BatiBot",J401:J1398,"Vuelta",L401:L1398,"Ganado")+(COUNTIFS(I401:I1398,"BatiBot",J401:J1398,"Vuelta",L401:L1398,"Break Even")))/(COUNTIFS(I401:I1398,"BatiBot",J401:J1398,"Vuelta")),"Sin Datos")</f>
        <v>Sin Datos</v>
      </c>
      <c r="T406" s="27" t="str">
        <f>IFERROR((COUNTIFS(I401:I1398,"BatiBot",K401:K1398,"Long",L401:L1398,"Ganado")+(COUNTIFS(I401:I1398,"BatiBot",K401:K1398,"Long",L401:L1398,"Break Even")))/(COUNTIFS(I401:I1398,"BatiBot",K401:K1398,"Long")),"Sin Datos")</f>
        <v>Sin Datos</v>
      </c>
      <c r="U406" s="27" t="str">
        <f>IFERROR((COUNTIFS(I401:I1398,"BatiBot",K401:K1398,"Short",L401:L1398,"Ganado")+(COUNTIFS(I401:I1398,"BatiBot",K401:K1398,"Short",L401:L1398,"Break Even")))/(COUNTIFS(I401:I1398,"BatiBot",K401:K1398,"Short")),"Sin Datos")</f>
        <v>Sin Datos</v>
      </c>
      <c r="V406" s="4" t="str">
        <f>IFERROR((COUNTIFS(I401:I1398,"BatiBot",L401:L1398,"Ganado")+(COUNTIFS(I401:I1398,"BatiBot",L401:L1398,"Break Even")))/(Q406),"Sin Datos")</f>
        <v>Sin Datos</v>
      </c>
      <c r="X406" s="27" t="str">
        <f>IFERROR((COUNTIFS(O401:O1398,"BatiBot",P401:P1398,"Ida",R401:R1398,"Ganado"))/(COUNTIFS(O401:O1398,"BatiBot",P401:P1398,"Ida")-(COUNTIFS(O401:O1398,"BatiBot",P401:P1398,"Ida",R401:R1398,"Break Even"))),"Sin Datos")</f>
        <v>Sin Datos</v>
      </c>
      <c r="Y406" s="27" t="str">
        <f>IFERROR((COUNTIFS(O401:O1398,"BatiBot",P401:P1398,"Vuelta",R401:R1398,"Ganado"))/(COUNTIFS(O401:O1398,"BatiBot",P401:P1398,"Vuelta")-(COUNTIFS(O401:O1398,"BatiBot",P401:P1398,"Vuelta",R401:R1398,"Break Even"))),"Sin Datos")</f>
        <v>Sin Datos</v>
      </c>
      <c r="Z406" s="27" t="str">
        <f>IFERROR((COUNTIFS(O401:O1398,"BatiBot",Q401:Q1398,"Long",R401:R1398,"Ganado"))/(COUNTIFS(O401:O1398,"BatiBot",Q401:Q1398,"Long")-(COUNTIFS(O401:O1398,"BatiBot",Q401:Q1398,"Long",R401:R1398,"Break Even"))),"Sin Datos")</f>
        <v>Sin Datos</v>
      </c>
      <c r="AA406" s="27" t="str">
        <f>IFERROR((COUNTIFS(O401:O1398,"BatiBot",Q401:Q1398,"Short",R401:R1398,"Ganado"))/(COUNTIFS(O401:O1398,"BatiBot",Q401:Q1398,"Short")-(COUNTIFS(O401:O1398,"BatiBot",Q401:Q1398,"Short",R401:R1398,"Break Even"))),"Sin Datos")</f>
        <v>Sin Datos</v>
      </c>
      <c r="AB406" s="4" t="str">
        <f>IFERROR((COUNTIFS(O401:O1398,"BatiBot",R401:R1398,"Ganado"))/((W406)-(COUNTIFS(O401:O1398,"BatiBot",R401:R1398,"Break Even"))),"Sin Datos")</f>
        <v>Sin Datos</v>
      </c>
      <c r="AD406" s="27" t="str">
        <f>IFERROR((COUNTIFS(U401:U1398,"BatiBot",V401:V1398,"Ida",X401:X1398,"Ganado"))/(COUNTIFS(U401:U1398,"BatiBot",V401:V1398,"Ida")),"Sin Datos")</f>
        <v>Sin Datos</v>
      </c>
      <c r="AE406" s="27" t="str">
        <f>IFERROR((COUNTIFS(U401:U1398,"BatiBot",V401:V1398,"Vuelta",X401:X1398,"Ganado"))/(COUNTIFS(U401:U1398,"BatiBot",V401:V1398,"Vuelta")),"Sin Datos")</f>
        <v>Sin Datos</v>
      </c>
      <c r="AF406" s="27" t="str">
        <f>IFERROR((COUNTIFS(U401:U1398,"BatiBot",W401:W1398,"Long",X401:X1398,"Ganado"))/(COUNTIFS(U401:U1398,"BatiBot",W401:W1398,"Long")),"Sin Datos")</f>
        <v>Sin Datos</v>
      </c>
      <c r="AG406" s="27" t="str">
        <f>IFERROR((COUNTIFS(U401:U1398,"BatiBot",W401:W1398,"Short",X401:X1398,"Ganado"))/(COUNTIFS(U401:U1398,"BatiBot",W401:W1398,"Short")),"Sin Datos")</f>
        <v>Sin Datos</v>
      </c>
      <c r="AH406" s="4" t="str">
        <f>IFERROR((COUNTIFS(U401:U1398,"BatiBot",X401:X1398,"Ganado"))/(AC406),"Sin Datos")</f>
        <v>Sin Datos</v>
      </c>
    </row>
    <row r="407" spans="18:34" ht="15.75" x14ac:dyDescent="0.25">
      <c r="R407" s="27" t="str">
        <f>IFERROR((COUNTIFS(I401:I1398,"WolfiBot",J401:J1398,"Ida",L401:L1398,"Ganado")+(COUNTIFS(I401:I1398,"WolfiBot",J401:J1398,"Ida",L401:L1398,"Break Even")))/(COUNTIFS(I401:I1398,"WolfiBot",J401:J1398,"Ida")),"Sin Datos")</f>
        <v>Sin Datos</v>
      </c>
      <c r="S407" s="27" t="str">
        <f>IFERROR((COUNTIFS(I401:I1398,"WolfiBot",J401:J1398,"Vuelta",L401:L1398,"Ganado")+(COUNTIFS(I401:I1398,"WolfiBot",J401:J1398,"Vuelta",L401:L1398,"Break Even")))/(COUNTIFS(I401:I1398,"WolfiBot",J401:J1398,"Vuelta")),"Sin Datos")</f>
        <v>Sin Datos</v>
      </c>
      <c r="T407" s="27" t="str">
        <f>IFERROR((COUNTIFS(I401:I1398,"WolfiBot",K401:K1398,"Long",L401:L1398,"Ganado")+(COUNTIFS(I401:I1398,"WolfiBot",K401:K1398,"Long",L401:L1398,"Break Even")))/(COUNTIFS(I401:I1398,"WolfiBot",K401:K1398,"Long")),"Sin Datos")</f>
        <v>Sin Datos</v>
      </c>
      <c r="U407" s="27" t="str">
        <f>IFERROR((COUNTIFS(I401:I1398,"WolfiBot",K401:K1398,"Short",L401:L1398,"Ganado")+(COUNTIFS(I401:I1398,"WolfiBot",K401:K1398,"Short",L401:L1398,"Break Even")))/(COUNTIFS(I401:I1398,"WolfiBot",K401:K1398,"Short")),"Sin Datos")</f>
        <v>Sin Datos</v>
      </c>
      <c r="V407" s="4" t="str">
        <f>IFERROR((COUNTIFS(I401:I1398,"WolfiBot",L401:L1398,"Ganado")+(COUNTIFS(I401:I1398,"WolfiBot",L401:L1398,"Break Even")))/(Q407),"Sin Datos")</f>
        <v>Sin Datos</v>
      </c>
      <c r="X407" s="27" t="str">
        <f>IFERROR((COUNTIFS(O401:O1398,"WolfiBot",P401:P1398,"Ida",R401:R1398,"Ganado"))/(COUNTIFS(O401:O1398,"WolfiBot",P401:P1398,"Ida")-(COUNTIFS(O401:O1398,"WolfiBot",P401:P1398,"Ida",R401:R1398,"Break Even"))),"Sin Datos")</f>
        <v>Sin Datos</v>
      </c>
      <c r="Y407" s="27" t="str">
        <f>IFERROR((COUNTIFS(O401:O1398,"WolfiBot",P401:P1398,"Vuelta",R401:R1398,"Ganado"))/(COUNTIFS(O401:O1398,"WolfiBot",P401:P1398,"Vuelta")-(COUNTIFS(O401:O1398,"WolfiBot",P401:P1398,"Vuelta",R401:R1398,"Break Even"))),"Sin Datos")</f>
        <v>Sin Datos</v>
      </c>
      <c r="Z407" s="27" t="str">
        <f>IFERROR((COUNTIFS(O401:O1398,"WolfiBot",Q401:Q1398,"Long",R401:R1398,"Ganado"))/(COUNTIFS(O401:O1398,"WolfiBot",Q401:Q1398,"Long")-(COUNTIFS(O401:O1398,"WolfiBot",Q401:Q1398,"Long",R401:R1398,"Break Even"))),"Sin Datos")</f>
        <v>Sin Datos</v>
      </c>
      <c r="AA407" s="27" t="str">
        <f>IFERROR((COUNTIFS(O401:O1398,"WolfiBot",Q401:Q1398,"Short",R401:R1398,"Ganado"))/(COUNTIFS(O401:O1398,"WolfiBot",Q401:Q1398,"Short")-(COUNTIFS(O401:O1398,"WolfiBot",Q401:Q1398,"Short",R401:R1398,"Break Even"))),"Sin Datos")</f>
        <v>Sin Datos</v>
      </c>
      <c r="AB407" s="4" t="str">
        <f>IFERROR((COUNTIFS(O401:O1398,"WolfiBot",R401:R1398,"Ganado"))/((W407)-(COUNTIFS(O401:O1398,"WolfiBot",R401:R1398,"Break Even"))),"Sin Datos")</f>
        <v>Sin Datos</v>
      </c>
      <c r="AD407" s="27" t="str">
        <f>IFERROR((COUNTIFS(U401:U1398,"WolfiBot",V401:V1398,"Ida",X401:X1398,"Ganado"))/(COUNTIFS(U401:U1398,"WolfiBot",V401:V1398,"Ida")),"Sin Datos")</f>
        <v>Sin Datos</v>
      </c>
      <c r="AE407" s="27" t="str">
        <f>IFERROR((COUNTIFS(U401:U1398,"WolfiBot",V401:V1398,"Vuelta",X401:X1398,"Ganado"))/(COUNTIFS(U401:U1398,"WolfiBot",V401:V1398,"Vuelta")),"Sin Datos")</f>
        <v>Sin Datos</v>
      </c>
      <c r="AF407" s="27" t="str">
        <f>IFERROR((COUNTIFS(U401:U1398,"WolfiBot",W401:W1398,"Long",X401:X1398,"Ganado"))/(COUNTIFS(U401:U1398,"WolfiBot",W401:W1398,"Long")),"Sin Datos")</f>
        <v>Sin Datos</v>
      </c>
      <c r="AG407" s="27" t="str">
        <f>IFERROR((COUNTIFS(U401:U1398,"WolfiBot",W401:W1398,"Short",X401:X1398,"Ganado"))/(COUNTIFS(U401:U1398,"WolfiBot",W401:W1398,"Short")),"Sin Datos")</f>
        <v>Sin Datos</v>
      </c>
      <c r="AH407" s="4" t="str">
        <f>IFERROR((COUNTIFS(U401:U1398,"WolfiBot",X401:X1398,"Ganado"))/(AC407),"Sin Datos")</f>
        <v>Sin Datos</v>
      </c>
    </row>
    <row r="408" spans="18:34" ht="15.75" x14ac:dyDescent="0.25">
      <c r="R408" s="27" t="str">
        <f>IFERROR((COUNTIFS(I401:I1398,"CondorBot",J401:J1398,"Ida",L401:L1398,"Ganado")+(COUNTIFS(I401:I1398,"CondorBot",J401:J1398,"Ida",L401:L1398,"Break Even")))/(COUNTIFS(I401:I1398,"CondorBot",J401:J1398,"Ida")),"Sin Datos")</f>
        <v>Sin Datos</v>
      </c>
      <c r="S408" s="27" t="str">
        <f>IFERROR((COUNTIFS(I401:I1398,"CondorBot",J401:J1398,"Vuelta",L401:L1398,"Ganado")+(COUNTIFS(I401:I1398,"CondorBot",J401:J1398,"Vuelta",L401:L1398,"Break Even")))/(COUNTIFS(I401:I1398,"CondorBot",J401:J1398,"Vuelta")),"Sin Datos")</f>
        <v>Sin Datos</v>
      </c>
      <c r="T408" s="27" t="str">
        <f>IFERROR((COUNTIFS(I401:I1398,"CondorBot",K401:K1398,"Long",L401:L1398,"Ganado")+(COUNTIFS(I401:I1398,"CondorBot",K401:K1398,"Long",L401:L1398,"Break Even")))/(COUNTIFS(I401:I1398,"CondorBot",K401:K1398,"Long")),"Sin Datos")</f>
        <v>Sin Datos</v>
      </c>
      <c r="U408" s="27" t="str">
        <f>IFERROR((COUNTIFS(I401:I1398,"CondorBot",K401:K1398,"Short",L401:L1398,"Ganado")+(COUNTIFS(I401:I1398,"CondorBot",K401:K1398,"Short",L401:L1398,"Break Even")))/(COUNTIFS(I401:I1398,"CondorBot",K401:K1398,"Short")),"Sin Datos")</f>
        <v>Sin Datos</v>
      </c>
      <c r="V408" s="4" t="str">
        <f>IFERROR((COUNTIFS(I401:I1398,"CondorBot",L401:L1398,"Ganado")+(COUNTIFS(I401:I1398,"CondorBot",L401:L1398,"Break Even")))/(Q408),"Sin Datos")</f>
        <v>Sin Datos</v>
      </c>
      <c r="X408" s="27" t="str">
        <f>IFERROR((COUNTIFS(O401:O1398,"CondorBot",P401:P1398,"Ida",R401:R1398,"Ganado"))/(COUNTIFS(O401:O1398,"CondorBot",P401:P1398,"Ida")-(COUNTIFS(O401:O1398,"CondorBot",P401:P1398,"Ida",R401:R1398,"Break Even"))),"Sin Datos")</f>
        <v>Sin Datos</v>
      </c>
      <c r="Y408" s="27" t="str">
        <f>IFERROR((COUNTIFS(O401:O1398,"CondorBot",P401:P1398,"Vuelta",R401:R1398,"Ganado"))/(COUNTIFS(O401:O1398,"CondorBot",P401:P1398,"Vuelta")-(COUNTIFS(O401:O1398,"CondorBot",P401:P1398,"Vuelta",R401:R1398,"Break Even"))),"Sin Datos")</f>
        <v>Sin Datos</v>
      </c>
      <c r="Z408" s="27" t="str">
        <f>IFERROR((COUNTIFS(O401:O1398,"CondorBot",Q401:Q1398,"Long",R401:R1398,"Ganado"))/(COUNTIFS(O401:O1398,"CondorBot",Q401:Q1398,"Long")-(COUNTIFS(O401:O1398,"CondorBot",Q401:Q1398,"Long",R401:R1398,"Break Even"))),"Sin Datos")</f>
        <v>Sin Datos</v>
      </c>
      <c r="AA408" s="27" t="str">
        <f>IFERROR((COUNTIFS(O401:O1398,"CondorBot",Q401:Q1398,"Short",R401:R1398,"Ganado"))/(COUNTIFS(O401:O1398,"CondorBot",Q401:Q1398,"Short")-(COUNTIFS(O401:O1398,"CondorBot",Q401:Q1398,"Short",R401:R1398,"Break Even"))),"Sin Datos")</f>
        <v>Sin Datos</v>
      </c>
      <c r="AB408" s="4" t="str">
        <f>IFERROR((COUNTIFS(O401:O1398,"CondorBot",R401:R1398,"Ganado"))/((W408)-(COUNTIFS(O401:O1398,"CondorBot",R401:R1398,"Break Even"))),"Sin Datos")</f>
        <v>Sin Datos</v>
      </c>
      <c r="AD408" s="27" t="str">
        <f>IFERROR((COUNTIFS(U401:U1398,"CondorBot",V401:V1398,"Ida",X401:X1398,"Ganado"))/(COUNTIFS(U401:U1398,"CondorBot",V401:V1398,"Ida")),"Sin Datos")</f>
        <v>Sin Datos</v>
      </c>
      <c r="AE408" s="27" t="str">
        <f>IFERROR((COUNTIFS(U401:U1398,"CondorBot",V401:V1398,"Vuelta",X401:X1398,"Ganado"))/(COUNTIFS(U401:U1398,"CondorBot",V401:V1398,"Vuelta")),"Sin Datos")</f>
        <v>Sin Datos</v>
      </c>
      <c r="AF408" s="27" t="str">
        <f>IFERROR((COUNTIFS(U401:U1398,"CondorBot",W401:W1398,"Long",X401:X1398,"Ganado"))/(COUNTIFS(U401:U1398,"CondorBot",W401:W1398,"Long")),"Sin Datos")</f>
        <v>Sin Datos</v>
      </c>
      <c r="AG408" s="27" t="str">
        <f>IFERROR((COUNTIFS(U401:U1398,"CondorBot",W401:W1398,"Short",X401:X1398,"Ganado"))/(COUNTIFS(U401:U1398,"CondorBot",W401:W1398,"Short")),"Sin Datos")</f>
        <v>Sin Datos</v>
      </c>
      <c r="AH408" s="4" t="str">
        <f>IFERROR((COUNTIFS(U401:U1398,"CondorBot",X401:X1398,"Ganado"))/(AC408),"Sin Datos")</f>
        <v>Sin Datos</v>
      </c>
    </row>
    <row r="409" spans="18:34" ht="15.75" x14ac:dyDescent="0.25">
      <c r="R409" s="27" t="str">
        <f>IFERROR((COUNTIFS(I401:I1398,"Otras",J401:J1398,"Ida",L401:L1398,"Ganado")+(COUNTIFS(I401:I1398,"Otras",J401:J1398,"Ida",L401:L1398,"Break Even")))/(COUNTIFS(I401:I1398,"Otras",J401:J1398,"Ida")),"Sin Datos")</f>
        <v>Sin Datos</v>
      </c>
      <c r="S409" s="27" t="str">
        <f>IFERROR((COUNTIFS(I401:I1398,"Otras",J401:J1398,"Vuelta",L401:L1398,"Ganado")+(COUNTIFS(I401:I1398,"Otras",J401:J1398,"Vuelta",L401:L1398,"Break Even")))/(COUNTIFS(I401:I1398,"Otras",J401:J1398,"Vuelta")),"Sin Datos")</f>
        <v>Sin Datos</v>
      </c>
      <c r="T409" s="27" t="str">
        <f>IFERROR((COUNTIFS(I401:I1398,"Otras",K401:K1398,"Long",L401:L1398,"Ganado")+(COUNTIFS(I401:I1398,"Otras",K401:K1398,"Long",L401:L1398,"Break Even")))/(COUNTIFS(I401:I1398,"Otras",K401:K1398,"Long")),"Sin Datos")</f>
        <v>Sin Datos</v>
      </c>
      <c r="U409" s="27" t="str">
        <f>IFERROR((COUNTIFS(I401:I1398,"Otras",K401:K1398,"Short",L401:L1398,"Ganado")+(COUNTIFS(I401:I1398,"Otras",K401:K1398,"Short",L401:L1398,"Break Even")))/(COUNTIFS(I401:I1398,"Otras",K401:K1398,"Short")),"Sin Datos")</f>
        <v>Sin Datos</v>
      </c>
      <c r="V409" s="4" t="str">
        <f>IFERROR((COUNTIFS(I401:I1398,"Otras",L401:L1398,"Ganado")+(COUNTIFS(I401:I1398,"Otras",L401:L1398,"Break Even")))/(Q409),"Sin Datos")</f>
        <v>Sin Datos</v>
      </c>
      <c r="X409" s="27" t="str">
        <f>IFERROR((COUNTIFS(O401:O1398,"Otras",P401:P1398,"Ida",R401:R1398,"Ganado"))/(COUNTIFS(O401:O1398,"Otras",P401:P1398,"Ida")-(COUNTIFS(O401:O1398,"Otras",P401:P1398,"Ida",R401:R1398,"Break Even"))),"Sin Datos")</f>
        <v>Sin Datos</v>
      </c>
      <c r="Y409" s="27" t="str">
        <f>IFERROR((COUNTIFS(O401:O1398,"Otras",P401:P1398,"Vuelta",R401:R1398,"Ganado"))/(COUNTIFS(O401:O1398,"Otras",P401:P1398,"Vuelta")-(COUNTIFS(O401:O1398,"Otras",P401:P1398,"Vuelta",R401:R1398,"Break Even"))),"Sin Datos")</f>
        <v>Sin Datos</v>
      </c>
      <c r="Z409" s="27" t="str">
        <f>IFERROR((COUNTIFS(O401:O1398,"Otras",Q401:Q1398,"Long",R401:R1398,"Ganado"))/(COUNTIFS(O401:O1398,"Otras",Q401:Q1398,"Long")-(COUNTIFS(O401:O1398,"Otras",Q401:Q1398,"Long",R401:R1398,"Break Even"))),"Sin Datos")</f>
        <v>Sin Datos</v>
      </c>
      <c r="AA409" s="27" t="str">
        <f>IFERROR((COUNTIFS(O401:O1398,"Otras",Q401:Q1398,"Short",R401:R1398,"Ganado"))/(COUNTIFS(O401:O1398,"Otras",Q401:Q1398,"Short")-(COUNTIFS(O401:O1398,"Otras",Q401:Q1398,"Short",R401:R1398,"Break Even"))),"Sin Datos")</f>
        <v>Sin Datos</v>
      </c>
      <c r="AB409" s="4" t="str">
        <f>IFERROR((COUNTIFS(O401:O1398,"Otras",R401:R1398,"Ganado"))/((W409)-(COUNTIFS(O401:O1398,"Otras",R401:R1398,"Break Even"))),"Sin Datos")</f>
        <v>Sin Datos</v>
      </c>
      <c r="AD409" s="27" t="str">
        <f>IFERROR((COUNTIFS(U401:U1398,"Otras",V401:V1398,"Ida",X401:X1398,"Ganado"))/(COUNTIFS(U401:U1398,"Otras",V401:V1398,"Ida")),"Sin Datos")</f>
        <v>Sin Datos</v>
      </c>
      <c r="AE409" s="27" t="str">
        <f>IFERROR((COUNTIFS(U401:U1398,"Otras",V401:V1398,"Vuelta",X401:X1398,"Ganado"))/(COUNTIFS(U401:U1398,"Otras",V401:V1398,"Vuelta")),"Sin Datos")</f>
        <v>Sin Datos</v>
      </c>
      <c r="AF409" s="27" t="str">
        <f>IFERROR((COUNTIFS(U401:U1398,"Otras",W401:W1398,"Long",X401:X1398,"Ganado"))/(COUNTIFS(U401:U1398,"Otras",W401:W1398,"Long")),"Sin Datos")</f>
        <v>Sin Datos</v>
      </c>
      <c r="AG409" s="27" t="str">
        <f>IFERROR((COUNTIFS(U401:U1398,"Otras",W401:W1398,"Short",X401:X1398,"Ganado"))/(COUNTIFS(U401:U1398,"Otras",W401:W1398,"Short")),"Sin Datos")</f>
        <v>Sin Datos</v>
      </c>
      <c r="AH409" s="4" t="str">
        <f>IFERROR((COUNTIFS(U401:U1398,"Otras",X401:X1398,"Ganado"))/(AC409),"Sin Datos")</f>
        <v>Sin Datos</v>
      </c>
    </row>
    <row r="410" spans="18:34" ht="18.75" x14ac:dyDescent="0.25">
      <c r="R410" s="29" t="str">
        <f>IFERROR((COUNTIFS(J401:J1398,"Ida",L401:L1398,"Ganado")+(COUNTIFS(J401:J1398,"Ida",L401:L1398,"Break Even")))/(COUNTIFS(J401:J1398,"Ida")),"Sin Datos")</f>
        <v>Sin Datos</v>
      </c>
      <c r="S410" s="29" t="str">
        <f>IFERROR((COUNTIFS(J401:J1398,"Vuelta",L401:L1398,"Ganado")+(COUNTIFS(J401:J1398,"Vuelta",L401:L1398,"Break Even")))/(COUNTIFS(J401:J1398,"Vuelta")),"Sin Datos")</f>
        <v>Sin Datos</v>
      </c>
      <c r="T410" s="29" t="str">
        <f>IFERROR((COUNTIFS(K401:K1398,"Long",L401:L1398,"Ganado")+(COUNTIFS(K401:K1398,"Long",L401:L1398,"Break Even")))/(COUNTIFS(K401:K1398,"Long")),"Sin Datos")</f>
        <v>Sin Datos</v>
      </c>
      <c r="U410" s="29" t="str">
        <f>IFERROR((COUNTIFS(K401:K1398,"Short",L401:L1398,"Ganado")+(COUNTIFS(K401:K1398,"Short",L401:L1398,"Break Even")))/(COUNTIFS(K401:K1398,"Short")),"Sin Datos")</f>
        <v>Sin Datos</v>
      </c>
      <c r="V410" s="29" t="str">
        <f>IFERROR((COUNTIF(L401:L1398,"Ganado")+(COUNTIF(L401:L1398,"Break Even")))/(Q410),"Sin Datos")</f>
        <v>Sin Datos</v>
      </c>
      <c r="X410" s="29" t="str">
        <f>IFERROR((COUNTIFS(P401:P1398,"Ida",R401:R1398,"Ganado"))/(COUNTIFS(P401:P1398,"Ida")-(COUNTIFS(P401:P1398,"Ida",R401:R1398,"Break Even"))),"Sin Datos")</f>
        <v>Sin Datos</v>
      </c>
      <c r="Y410" s="29" t="str">
        <f>IFERROR((COUNTIFS(P401:P1398,"Vuelta",R401:R1398,"Ganado"))/(COUNTIFS(P401:P1398,"Vuelta")-(COUNTIFS(P401:P1398,"Vuelta",R401:R1398,"Break Even"))),"Sin Datos")</f>
        <v>Sin Datos</v>
      </c>
      <c r="Z410" s="29" t="str">
        <f>IFERROR((COUNTIFS(Q401:Q1398,"Long",R401:R1398,"Ganado"))/(COUNTIFS(Q401:Q1398,"Long")-(COUNTIFS(Q401:Q1398,"Long",R401:R1398,"Break Even"))),"Sin Datos")</f>
        <v>Sin Datos</v>
      </c>
      <c r="AA410" s="29" t="str">
        <f>IFERROR((COUNTIFS(Q401:Q1398,"Short",R401:R1398,"Ganado"))/(COUNTIFS(Q401:Q1398,"Short")-(COUNTIFS(Q401:Q1398,"Short",R401:R1398,"Break Even"))),"Sin Datos")</f>
        <v>Sin Datos</v>
      </c>
      <c r="AB410" s="29" t="str">
        <f>IFERROR((COUNTIF(R401:R1398,"Ganado"))/((W410)-(COUNTIF(R401:R1398,"Break Even"))),"Sin Datos")</f>
        <v>Sin Datos</v>
      </c>
      <c r="AD410" s="29" t="str">
        <f>IFERROR((COUNTIFS(V401:V1398,"Ida",X401:X1398,"Ganado"))/(COUNTIFS(V401:V1398,"Ida")),"Sin Datos")</f>
        <v>Sin Datos</v>
      </c>
      <c r="AE410" s="29" t="str">
        <f>IFERROR((COUNTIFS(V401:V1398,"Vuelta",X401:X1398,"Ganado"))/(COUNTIFS(V401:V1398,"Vuelta")),"Sin Datos")</f>
        <v>Sin Datos</v>
      </c>
      <c r="AF410" s="29" t="str">
        <f>IFERROR((COUNTIFS(W401:W1398,"Long",X401:X1398,"Ganado"))/(COUNTIFS(W401:W1398,"Long")),"Sin Datos")</f>
        <v>Sin Datos</v>
      </c>
      <c r="AG410" s="29" t="str">
        <f>IFERROR((COUNTIFS(W401:W1398,"Short",X401:X1398,"Ganado"))/(COUNTIFS(W401:W1398,"Short")),"Sin Datos")</f>
        <v>Sin Datos</v>
      </c>
      <c r="AH410" s="29" t="str">
        <f>IFERROR((COUNTIF(X401:X1398,"Ganado"))/(AC410),"Sin Datos")</f>
        <v>Sin Datos</v>
      </c>
    </row>
  </sheetData>
  <mergeCells count="4">
    <mergeCell ref="M13:N13"/>
    <mergeCell ref="R397:V398"/>
    <mergeCell ref="X397:AB398"/>
    <mergeCell ref="AD397:AH398"/>
  </mergeCells>
  <conditionalFormatting sqref="H2:H301">
    <cfRule type="containsText" dxfId="66" priority="28" operator="containsText" text="Short">
      <formula>NOT(ISERROR(SEARCH("Short",H2)))</formula>
    </cfRule>
    <cfRule type="containsText" dxfId="65" priority="29" operator="containsText" text="Long">
      <formula>NOT(ISERROR(SEARCH("Long",H2)))</formula>
    </cfRule>
  </conditionalFormatting>
  <conditionalFormatting sqref="I2:I301">
    <cfRule type="containsText" dxfId="64" priority="25" operator="containsText" text="Break Even">
      <formula>NOT(ISERROR(SEARCH("Break Even",I2)))</formula>
    </cfRule>
    <cfRule type="containsText" dxfId="63" priority="26" operator="containsText" text="Perdido">
      <formula>NOT(ISERROR(SEARCH("Perdido",I2)))</formula>
    </cfRule>
    <cfRule type="containsText" dxfId="62" priority="27" operator="containsText" text="Ganado">
      <formula>NOT(ISERROR(SEARCH("Ganado",I2)))</formula>
    </cfRule>
  </conditionalFormatting>
  <conditionalFormatting sqref="B8">
    <cfRule type="containsText" dxfId="61" priority="22" operator="containsText" text="Baja">
      <formula>NOT(ISERROR(SEARCH("Baja",B8)))</formula>
    </cfRule>
    <cfRule type="containsText" dxfId="60" priority="23" operator="containsText" text="Moderada">
      <formula>NOT(ISERROR(SEARCH("Moderada",B8)))</formula>
    </cfRule>
    <cfRule type="containsText" dxfId="59" priority="24" operator="containsText" text="Alta">
      <formula>NOT(ISERROR(SEARCH("Alta",B8)))</formula>
    </cfRule>
  </conditionalFormatting>
  <conditionalFormatting sqref="B13:B16">
    <cfRule type="cellIs" dxfId="58" priority="19" operator="between">
      <formula>0</formula>
      <formula>0.49</formula>
    </cfRule>
    <cfRule type="cellIs" dxfId="57" priority="20" operator="between">
      <formula>0.5</formula>
      <formula>0.65</formula>
    </cfRule>
    <cfRule type="cellIs" dxfId="56" priority="21" operator="between">
      <formula>0.66</formula>
      <formula>1</formula>
    </cfRule>
  </conditionalFormatting>
  <conditionalFormatting sqref="B17:B20">
    <cfRule type="cellIs" dxfId="55" priority="17" operator="lessThan">
      <formula>0</formula>
    </cfRule>
    <cfRule type="cellIs" dxfId="54" priority="18" operator="greaterThan">
      <formula>0</formula>
    </cfRule>
  </conditionalFormatting>
  <conditionalFormatting sqref="B2:B7">
    <cfRule type="cellIs" dxfId="53" priority="15" operator="lessThan">
      <formula>0</formula>
    </cfRule>
    <cfRule type="cellIs" dxfId="52" priority="16" operator="greaterThan">
      <formula>0</formula>
    </cfRule>
  </conditionalFormatting>
  <conditionalFormatting sqref="X401:AB410">
    <cfRule type="cellIs" dxfId="51" priority="12" operator="between">
      <formula>0.66</formula>
      <formula>1</formula>
    </cfRule>
    <cfRule type="cellIs" dxfId="50" priority="13" operator="between">
      <formula>0.5</formula>
      <formula>0.65</formula>
    </cfRule>
    <cfRule type="cellIs" dxfId="49" priority="14" operator="between">
      <formula>0</formula>
      <formula>0.49</formula>
    </cfRule>
  </conditionalFormatting>
  <conditionalFormatting sqref="R401:V410">
    <cfRule type="cellIs" dxfId="48" priority="9" operator="between">
      <formula>0.66</formula>
      <formula>1</formula>
    </cfRule>
    <cfRule type="cellIs" dxfId="47" priority="10" operator="between">
      <formula>0.5</formula>
      <formula>0.65</formula>
    </cfRule>
    <cfRule type="cellIs" dxfId="46" priority="11" operator="between">
      <formula>0</formula>
      <formula>0.49</formula>
    </cfRule>
  </conditionalFormatting>
  <conditionalFormatting sqref="AD401:AH410">
    <cfRule type="cellIs" dxfId="45" priority="6" operator="between">
      <formula>0.66</formula>
      <formula>1</formula>
    </cfRule>
    <cfRule type="cellIs" dxfId="44" priority="7" operator="between">
      <formula>0.5</formula>
      <formula>0.65</formula>
    </cfRule>
    <cfRule type="cellIs" dxfId="43" priority="8" operator="between">
      <formula>0</formula>
      <formula>0.49</formula>
    </cfRule>
  </conditionalFormatting>
  <conditionalFormatting sqref="O2:S11">
    <cfRule type="cellIs" dxfId="42" priority="3" operator="between">
      <formula>0.66</formula>
      <formula>1</formula>
    </cfRule>
    <cfRule type="cellIs" dxfId="41" priority="4" operator="between">
      <formula>0.5</formula>
      <formula>0.65</formula>
    </cfRule>
    <cfRule type="cellIs" dxfId="40" priority="5" operator="between">
      <formula>0</formula>
      <formula>0.49</formula>
    </cfRule>
  </conditionalFormatting>
  <conditionalFormatting sqref="J2:K301">
    <cfRule type="cellIs" dxfId="39" priority="1" operator="lessThan">
      <formula>0</formula>
    </cfRule>
    <cfRule type="cellIs" dxfId="38" priority="2" operator="greaterThan">
      <formula>0</formula>
    </cfRule>
  </conditionalFormatting>
  <dataValidations count="5">
    <dataValidation type="list" allowBlank="1" showInputMessage="1" showErrorMessage="1" sqref="B8" xr:uid="{00000000-0002-0000-0700-000000000000}">
      <formula1>"Alta,Moderada,Baja"</formula1>
    </dataValidation>
    <dataValidation type="list" allowBlank="1" showInputMessage="1" showErrorMessage="1" sqref="H2:H301" xr:uid="{00000000-0002-0000-0700-000001000000}">
      <formula1>"Long,Short"</formula1>
    </dataValidation>
    <dataValidation type="list" allowBlank="1" showInputMessage="1" showErrorMessage="1" sqref="E2:E301" xr:uid="{00000000-0002-0000-0700-000002000000}">
      <formula1>"1,2,3,4,5,6,7,8,9,10,11,12,13,14,15,16,17,18,19,20,21,22,23,24,25,26,27,28,29,30,31"</formula1>
    </dataValidation>
    <dataValidation type="list" allowBlank="1" showErrorMessage="1" promptTitle="Seleccione" prompt="Seleccione" sqref="G2:G301" xr:uid="{00000000-0002-0000-0700-000003000000}">
      <formula1>"Ida,Vuelta"</formula1>
    </dataValidation>
    <dataValidation type="list" allowBlank="1" showErrorMessage="1" promptTitle="Seleccione" prompt="Seleccione" sqref="F2:F301" xr:uid="{00000000-0002-0000-0700-000004000000}">
      <formula1>$M$2:$M$10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23662E-1D35-48F7-9DD0-7DFE6C6436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Operativa</vt:lpstr>
      <vt:lpstr>Datos Generales</vt:lpstr>
      <vt:lpstr>Febrero-20</vt:lpstr>
      <vt:lpstr>Marzo-20</vt:lpstr>
      <vt:lpstr>Abril-20</vt:lpstr>
      <vt:lpstr>Mayo-20</vt:lpstr>
      <vt:lpstr>Junio-20</vt:lpstr>
      <vt:lpstr>Julio-20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Aldana</dc:creator>
  <cp:lastModifiedBy>George Aldana</cp:lastModifiedBy>
  <dcterms:created xsi:type="dcterms:W3CDTF">2020-11-30T03:34:50Z</dcterms:created>
  <dcterms:modified xsi:type="dcterms:W3CDTF">2021-12-16T04:23:10Z</dcterms:modified>
</cp:coreProperties>
</file>